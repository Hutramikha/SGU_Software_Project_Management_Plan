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Template" sheetId="1" r:id="rId4"/>
  </sheets>
  <definedNames/>
  <calcPr/>
  <extLst>
    <ext uri="GoogleSheetsCustomDataVersion2">
      <go:sheetsCustomData xmlns:go="http://customooxmlschemas.google.com/" r:id="rId5" roundtripDataChecksum="U2BbVIu3F9dpmz3puepKs+u/YllyNOG5r/12SGtfcUE="/>
    </ext>
  </extLst>
</workbook>
</file>

<file path=xl/sharedStrings.xml><?xml version="1.0" encoding="utf-8"?>
<sst xmlns="http://schemas.openxmlformats.org/spreadsheetml/2006/main" count="295" uniqueCount="118">
  <si>
    <t>Project Leader:</t>
  </si>
  <si>
    <t>Huỳnh Trần Minh Khang</t>
  </si>
  <si>
    <t xml:space="preserve">Project: </t>
  </si>
  <si>
    <t>Xây dựng Website bán sách</t>
  </si>
  <si>
    <t>Project Objective: Phát triển giao diện website bán sách trực tuyến dành cho khách hàng, hỗ trợ xem, tìm kiếm, đặt mua sách và tích hợp bản đồ cửa hàng.</t>
  </si>
  <si>
    <t>Objectives</t>
  </si>
  <si>
    <t>Major Tasks</t>
  </si>
  <si>
    <t>Dự án bắt đầu vào: 06/10/2025 - Kết thúc: 05/02/2026</t>
  </si>
  <si>
    <t>Owner / Priority</t>
  </si>
  <si>
    <t>○</t>
  </si>
  <si>
    <t>Xác định phạm vi dự án</t>
  </si>
  <si>
    <t>A</t>
  </si>
  <si>
    <t>B</t>
  </si>
  <si>
    <t>Lập timeline tổng thể</t>
  </si>
  <si>
    <t>Xác định nguồn lực cần thiết</t>
  </si>
  <si>
    <t>Lập ngân sách sơ bộ</t>
  </si>
  <si>
    <t>Phân công nhân sự</t>
  </si>
  <si>
    <t>Theo dõi tiến độ và kiểm tra chất lượng</t>
  </si>
  <si>
    <t xml:space="preserve">Tìm hiểu Waterfall và áp dụng xây dựng quá trình quản lý dự án                </t>
  </si>
  <si>
    <t>C</t>
  </si>
  <si>
    <t>Thiết lập GitHub và môi trường phát triển</t>
  </si>
  <si>
    <t>Thiết lập Trello để quản lý công việc</t>
  </si>
  <si>
    <t>Khảo sát các website thương mại điện tử tương tự</t>
  </si>
  <si>
    <t>Phân tích yêu cầu người dùng &amp; chức năng cần thiết</t>
  </si>
  <si>
    <t>Tìm hiểu công nghệ React, NodeJS, AWS…</t>
  </si>
  <si>
    <t>Viết báo cáo tổng quan công nghệ sử dụng</t>
  </si>
  <si>
    <t>Viết lại báo cáo cách triển khai các công nghệ</t>
  </si>
  <si>
    <t>Xác định các Stack-Holders tham gia trong dự án</t>
  </si>
  <si>
    <t>Tính toán xem các chức năng nào quan trọng nhất</t>
  </si>
  <si>
    <t>Thảo luận các chức năng mới cần có</t>
  </si>
  <si>
    <t xml:space="preserve"> </t>
  </si>
  <si>
    <t>Xây dựng bảng khảo sát mức độ quan tâm của người dùng</t>
  </si>
  <si>
    <t>Xác định rõ kết quả khảo sát sẽ cung cấp thông tin gì cho nhóm</t>
  </si>
  <si>
    <t>Thiết kế UI/UX cho website Fahasa</t>
  </si>
  <si>
    <t>Thiết kế kiến trúc hệ thống &amp; cơ sở dữ liệu</t>
  </si>
  <si>
    <t>Thiết kế API &amp; cấu hình tích hợp</t>
  </si>
  <si>
    <t>Lập trình Frontend website</t>
  </si>
  <si>
    <t>Cấu hình kết nối MySQL trên server</t>
  </si>
  <si>
    <t>Lập trình Backend website</t>
  </si>
  <si>
    <t>Xác thực &amp; phân quyền người dùng</t>
  </si>
  <si>
    <t>Triển khai hệ thống lên môi trường test (AWS)</t>
  </si>
  <si>
    <t>Tích hợp thanh toán (VNPAY, MoMo…) &amp; vận chuyển (GHN, GHTK…)</t>
  </si>
  <si>
    <t>Tích hợp bản đồ &amp; tra cứu đơn hàng</t>
  </si>
  <si>
    <t>Tích hợp đăng nhập bằng mạng xã hội (Facebook, Google)</t>
  </si>
  <si>
    <t>Kiểm thử chức năng, giao diện, bảo mật &amp; hiệu năng của website</t>
  </si>
  <si>
    <t>Viết tài liệu hướng dẫn sử dụng website</t>
  </si>
  <si>
    <t xml:space="preserve">Triển khai website &amp; xử lý lỗi thực tế </t>
  </si>
  <si>
    <t>Tìm hiểu các phương pháp xây dựng ứng dụng di động (Native, Hybrid và Cross-platform)</t>
  </si>
  <si>
    <t>So sánh Flutter, React Native, Swift, Kotlin</t>
  </si>
  <si>
    <t>Phân tích yêu cầu kỹ thuật của app Fahasa</t>
  </si>
  <si>
    <t>Xác định chức năng cần có trong app</t>
  </si>
  <si>
    <t>Chuẩn bị tài khoản developer Google &amp; Apple</t>
  </si>
  <si>
    <t>Cài đặt môi trường phát triển app (Android Studio, Xcode, VS Code…)</t>
  </si>
  <si>
    <t>Thiết kế UI/UX cho app</t>
  </si>
  <si>
    <t>Lập trình app Android &amp; app iOS</t>
  </si>
  <si>
    <t>Tích hợp API từ hệ thống website Fahasa</t>
  </si>
  <si>
    <t>Kiểm thử chức năng, giao diện, bảo mật &amp; hiệu năng của app</t>
  </si>
  <si>
    <t>Viết tài liệu hướng dẫn sử dụng app</t>
  </si>
  <si>
    <t>Đăng app lên CH Play &amp; Apple Store</t>
  </si>
  <si>
    <t>Tạo liên kết tải app trên website Fahasa</t>
  </si>
  <si>
    <t>Hoàn thiện sản phẩm &amp; viết báo cáo cuối cùng</t>
  </si>
  <si>
    <t xml:space="preserve"># People working on the project: </t>
  </si>
  <si>
    <t>Phân tích &amp; xác định yêu cầu</t>
  </si>
  <si>
    <t>Nghiên cứu &amp; lựa chọn công nghệ</t>
  </si>
  <si>
    <t>Quản lý &amp; tổ chức dự án</t>
  </si>
  <si>
    <t xml:space="preserve">Thiết kế hệ thống &amp; giao diện        </t>
  </si>
  <si>
    <t>Phát triển &amp; tích hợp website</t>
  </si>
  <si>
    <t>Kiểm thử &amp; triển khai website</t>
  </si>
  <si>
    <t>Phát triển ứng dụng di động</t>
  </si>
  <si>
    <t>Kiểm thử &amp; triển khai app</t>
  </si>
  <si>
    <t>Tổng kết &amp; báo cáo sản phẩm</t>
  </si>
  <si>
    <t>06/10/2025</t>
  </si>
  <si>
    <t>07/10/2025</t>
  </si>
  <si>
    <t>08/10/2025</t>
  </si>
  <si>
    <t>09/10/2025</t>
  </si>
  <si>
    <t>10/10/2025</t>
  </si>
  <si>
    <t>13/10/2025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</si>
  <si>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</si>
  <si>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</si>
  <si>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</si>
  <si>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</si>
  <si>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</si>
  <si>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</si>
  <si>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</si>
  <si>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29/10/2025</t>
  </si>
  <si>
    <t>03/11/2025</t>
  </si>
  <si>
    <t>05/11/2025</t>
  </si>
  <si>
    <t>06/11/2025</t>
  </si>
  <si>
    <t>11/11/2025</t>
  </si>
  <si>
    <t>19/11/2025</t>
  </si>
  <si>
    <t>25/11/2025</t>
  </si>
  <si>
    <t>27/11/2025</t>
  </si>
  <si>
    <t>02/12/2025</t>
  </si>
  <si>
    <t>03/12/2025</t>
  </si>
  <si>
    <t>08/12/2025</t>
  </si>
  <si>
    <t>09/12/2025</t>
  </si>
  <si>
    <t>10/12/2025</t>
  </si>
  <si>
    <t>12/12/2025</t>
  </si>
  <si>
    <t>15/12/2025</t>
  </si>
  <si>
    <t>29/12/2025</t>
  </si>
  <si>
    <t>30/12/2025</t>
  </si>
  <si>
    <t>31/12/2025</t>
  </si>
  <si>
    <t>01/01/2026</t>
  </si>
  <si>
    <t>19/01/2026</t>
  </si>
  <si>
    <t>20/01/2026</t>
  </si>
  <si>
    <t>21/01/2026</t>
  </si>
  <si>
    <t>22/01/2026</t>
  </si>
  <si>
    <t>23/01/2026</t>
  </si>
  <si>
    <t>29/01/2026</t>
  </si>
  <si>
    <t>05/02/2026</t>
  </si>
  <si>
    <t>Châu Nguyễn Trường Vũ</t>
  </si>
  <si>
    <t>Nguyễn Duy Sơn</t>
  </si>
  <si>
    <t>A = primary owner</t>
  </si>
  <si>
    <t>B = secondary owner</t>
  </si>
  <si>
    <t>C = third owner</t>
  </si>
  <si>
    <t>●</t>
  </si>
  <si>
    <t>in progress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</si>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</sst>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#,##0.0"/>
    <numFmt numFmtId="166" formatCode="0000"/>
  </numFmts>
  <fonts count="17">
    <font>
      <sz val="10.0"/>
      <color rgb="FF000000"/>
      <name val="Verdana"/>
      <scheme val="minor"/>
    </font>
    <font>
      <sz val="10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14.0"/>
      <color theme="1"/>
      <name val="Verdana"/>
      <scheme val="minor"/>
    </font>
    <font>
      <sz val="9.0"/>
      <color theme="1"/>
      <name val="Verdana"/>
      <scheme val="minor"/>
    </font>
    <font>
      <b/>
      <sz val="14.0"/>
      <color theme="1"/>
      <name val="Times New Roman"/>
    </font>
    <font>
      <sz val="9.0"/>
      <color theme="1"/>
      <name val="Arial"/>
    </font>
    <font>
      <sz val="9.0"/>
      <color theme="1"/>
      <name val="Verdana"/>
    </font>
    <font>
      <sz val="10.0"/>
      <color theme="1"/>
      <name val="Noto Sans Symbols"/>
    </font>
    <font>
      <sz val="10.0"/>
      <color rgb="FF0000D4"/>
      <name val="Arial"/>
    </font>
    <font>
      <sz val="11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7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C0C0C0"/>
      </right>
      <top style="medium">
        <color rgb="FF000000"/>
      </top>
      <bottom style="medium">
        <color rgb="FF000000"/>
      </bottom>
    </border>
    <border>
      <left style="hair">
        <color rgb="FFC0C0C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C0C0C0"/>
      </left>
      <right style="hair">
        <color rgb="FFC0C0C0"/>
      </right>
      <top style="medium">
        <color rgb="FF000000"/>
      </top>
      <bottom style="medium">
        <color rgb="FF000000"/>
      </bottom>
    </border>
    <border>
      <left style="hair">
        <color rgb="FFC0C0C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C0C0C0"/>
      </right>
    </border>
    <border>
      <left style="hair">
        <color rgb="FFC0C0C0"/>
      </left>
      <right style="hair">
        <color rgb="FFC0C0C0"/>
      </right>
    </border>
    <border>
      <left style="hair">
        <color rgb="FFC0C0C0"/>
      </left>
    </border>
    <border>
      <left style="hair">
        <color rgb="FFC0C0C0"/>
      </left>
      <right style="medium">
        <color rgb="FF000000"/>
      </right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C0C0C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C0C0C0"/>
      </bottom>
    </border>
    <border>
      <top style="medium">
        <color rgb="FF000000"/>
      </top>
      <bottom style="hair">
        <color rgb="FFC0C0C0"/>
      </bottom>
    </border>
    <border>
      <right style="medium">
        <color rgb="FF000000"/>
      </right>
      <top style="medium">
        <color rgb="FF000000"/>
      </top>
      <bottom style="hair">
        <color rgb="FFC0C0C0"/>
      </bottom>
    </border>
    <border>
      <left style="medium">
        <color rgb="FF000000"/>
      </left>
      <top style="hair">
        <color rgb="FFC0C0C0"/>
      </top>
      <bottom style="hair">
        <color rgb="FFC0C0C0"/>
      </bottom>
    </border>
    <border>
      <top style="hair">
        <color rgb="FFC0C0C0"/>
      </top>
      <bottom style="hair">
        <color rgb="FFC0C0C0"/>
      </bottom>
    </border>
    <border>
      <right style="medium">
        <color rgb="FF00000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bottom style="medium">
        <color rgb="FF000000"/>
      </bottom>
    </border>
    <border>
      <left style="hair">
        <color rgb="FFC0C0C0"/>
      </left>
      <bottom style="medium">
        <color rgb="FF000000"/>
      </bottom>
    </border>
    <border>
      <left style="hair">
        <color rgb="FFC0C0C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hair">
        <color rgb="FFC0C0C0"/>
      </top>
      <bottom style="medium">
        <color rgb="FF000000"/>
      </bottom>
    </border>
    <border>
      <top style="hair">
        <color rgb="FFC0C0C0"/>
      </top>
      <bottom style="medium">
        <color rgb="FF000000"/>
      </bottom>
    </border>
    <border>
      <right style="medium">
        <color rgb="FF000000"/>
      </right>
      <top style="hair">
        <color rgb="FFC0C0C0"/>
      </top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2" fillId="0" fontId="4" numFmtId="0" xfId="0" applyBorder="1" applyFont="1"/>
    <xf borderId="2" fillId="0" fontId="2" numFmtId="0" xfId="0" applyAlignment="1" applyBorder="1" applyFont="1">
      <alignment horizontal="right" shrinkToFit="0" vertical="bottom" wrapText="0"/>
    </xf>
    <xf borderId="2" fillId="0" fontId="2" numFmtId="164" xfId="0" applyAlignment="1" applyBorder="1" applyFont="1" applyNumberFormat="1">
      <alignment horizontal="left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4" fillId="0" fontId="5" numFmtId="0" xfId="0" applyAlignment="1" applyBorder="1" applyFont="1">
      <alignment horizontal="left" readingOrder="0" shrinkToFit="0" vertical="center" wrapText="1"/>
    </xf>
    <xf borderId="5" fillId="0" fontId="4" numFmtId="0" xfId="0" applyBorder="1" applyFont="1"/>
    <xf borderId="0" fillId="0" fontId="6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right" shrinkToFit="0" vertical="bottom" wrapText="0"/>
    </xf>
    <xf borderId="9" fillId="0" fontId="7" numFmtId="0" xfId="0" applyAlignment="1" applyBorder="1" applyFont="1">
      <alignment horizontal="center" shrinkToFit="1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7" numFmtId="0" xfId="0" applyAlignment="1" applyBorder="1" applyFont="1">
      <alignment horizontal="center" shrinkToFit="0" vertical="bottom" wrapText="0"/>
    </xf>
    <xf borderId="13" fillId="0" fontId="7" numFmtId="0" xfId="0" applyAlignment="1" applyBorder="1" applyFont="1">
      <alignment horizontal="left" shrinkToFit="0" vertical="bottom" wrapText="0"/>
    </xf>
    <xf borderId="10" fillId="0" fontId="7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3" fillId="0" fontId="4" numFmtId="0" xfId="0" applyBorder="1" applyFont="1"/>
    <xf borderId="14" fillId="0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shrinkToFit="0" vertical="center" wrapText="0"/>
    </xf>
    <xf borderId="17" fillId="0" fontId="9" numFmtId="0" xfId="0" applyAlignment="1" applyBorder="1" applyFont="1">
      <alignment readingOrder="0" vertical="center"/>
    </xf>
    <xf borderId="17" fillId="0" fontId="4" numFmtId="0" xfId="0" applyBorder="1" applyFont="1"/>
    <xf borderId="18" fillId="0" fontId="4" numFmtId="0" xfId="0" applyBorder="1" applyFont="1"/>
    <xf borderId="15" fillId="0" fontId="10" numFmtId="0" xfId="0" applyAlignment="1" applyBorder="1" applyFont="1">
      <alignment horizontal="center" readingOrder="0" shrinkToFit="0" vertical="center" wrapText="0"/>
    </xf>
    <xf borderId="19" fillId="0" fontId="1" numFmtId="0" xfId="0" applyAlignment="1" applyBorder="1" applyFont="1">
      <alignment horizontal="center" readingOrder="0" shrinkToFit="0" vertical="center" wrapText="0"/>
    </xf>
    <xf borderId="20" fillId="0" fontId="1" numFmtId="0" xfId="0" applyAlignment="1" applyBorder="1" applyFont="1">
      <alignment horizontal="center" readingOrder="0" shrinkToFit="0" vertical="center" wrapText="0"/>
    </xf>
    <xf borderId="21" fillId="0" fontId="1" numFmtId="0" xfId="0" applyAlignment="1" applyBorder="1" applyFont="1">
      <alignment horizontal="center" readingOrder="0" shrinkToFit="0" vertical="center" wrapText="0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shrinkToFit="0" vertical="center" wrapText="0"/>
    </xf>
    <xf borderId="23" fillId="0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shrinkToFit="0" vertical="center" wrapText="0"/>
    </xf>
    <xf borderId="15" fillId="0" fontId="10" numFmtId="0" xfId="0" applyAlignment="1" applyBorder="1" applyFont="1">
      <alignment horizontal="center" shrinkToFit="0" vertical="center" wrapText="0"/>
    </xf>
    <xf borderId="25" fillId="0" fontId="10" numFmtId="0" xfId="0" applyAlignment="1" applyBorder="1" applyFont="1">
      <alignment horizontal="center" readingOrder="0" shrinkToFit="0" vertical="center" wrapText="0"/>
    </xf>
    <xf borderId="26" fillId="0" fontId="10" numFmtId="0" xfId="0" applyAlignment="1" applyBorder="1" applyFont="1">
      <alignment horizontal="center" readingOrder="0" shrinkToFit="0" vertical="center" wrapText="0"/>
    </xf>
    <xf borderId="27" fillId="0" fontId="10" numFmtId="0" xfId="0" applyAlignment="1" applyBorder="1" applyFont="1">
      <alignment horizontal="center" readingOrder="0" shrinkToFit="0" vertical="center" wrapText="0"/>
    </xf>
    <xf borderId="27" fillId="0" fontId="10" numFmtId="0" xfId="0" applyAlignment="1" applyBorder="1" applyFont="1">
      <alignment horizontal="center" shrinkToFit="0" vertical="center" wrapText="0"/>
    </xf>
    <xf borderId="28" fillId="0" fontId="10" numFmtId="0" xfId="0" applyAlignment="1" applyBorder="1" applyFont="1">
      <alignment horizontal="center" shrinkToFit="0" vertical="center" wrapText="0"/>
    </xf>
    <xf borderId="20" fillId="0" fontId="1" numFmtId="0" xfId="0" applyAlignment="1" applyBorder="1" applyFont="1">
      <alignment horizontal="center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9" fillId="0" fontId="10" numFmtId="0" xfId="0" applyAlignment="1" applyBorder="1" applyFont="1">
      <alignment horizontal="center" readingOrder="0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horizontal="center" shrinkToFit="0" vertical="center" wrapText="0"/>
    </xf>
    <xf borderId="29" fillId="0" fontId="10" numFmtId="0" xfId="0" applyAlignment="1" applyBorder="1" applyFont="1">
      <alignment horizontal="center" shrinkToFit="0" vertical="center" wrapText="0"/>
    </xf>
    <xf borderId="26" fillId="0" fontId="10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readingOrder="0" shrinkToFit="0" vertical="center" wrapText="0"/>
    </xf>
    <xf borderId="17" fillId="0" fontId="1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14" fillId="0" fontId="1" numFmtId="0" xfId="0" applyAlignment="1" applyBorder="1" applyFont="1">
      <alignment horizontal="center" readingOrder="0" shrinkToFit="0" vertical="center" wrapText="0"/>
    </xf>
    <xf borderId="23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horizontal="center" readingOrder="0" shrinkToFit="0" vertical="center" wrapText="0"/>
    </xf>
    <xf borderId="24" fillId="0" fontId="10" numFmtId="0" xfId="0" applyAlignment="1" applyBorder="1" applyFont="1">
      <alignment horizontal="center" shrinkToFit="0" vertical="center" wrapText="0"/>
    </xf>
    <xf borderId="30" fillId="0" fontId="10" numFmtId="0" xfId="0" applyAlignment="1" applyBorder="1" applyFont="1">
      <alignment horizontal="center" readingOrder="0" shrinkToFit="0" vertical="center" wrapText="0"/>
    </xf>
    <xf borderId="30" fillId="0" fontId="10" numFmtId="0" xfId="0" applyAlignment="1" applyBorder="1" applyFont="1">
      <alignment horizontal="center" shrinkToFit="0" vertical="center" wrapText="0"/>
    </xf>
    <xf borderId="31" fillId="0" fontId="10" numFmtId="0" xfId="0" applyAlignment="1" applyBorder="1" applyFont="1">
      <alignment horizontal="center" shrinkToFit="0" vertical="center" wrapText="0"/>
    </xf>
    <xf borderId="32" fillId="0" fontId="10" numFmtId="0" xfId="0" applyAlignment="1" applyBorder="1" applyFont="1">
      <alignment horizontal="center" shrinkToFit="0" vertical="center" wrapText="0"/>
    </xf>
    <xf borderId="25" fillId="0" fontId="12" numFmtId="0" xfId="0" applyAlignment="1" applyBorder="1" applyFont="1">
      <alignment readingOrder="0" vertical="center"/>
    </xf>
    <xf borderId="33" fillId="0" fontId="4" numFmtId="0" xfId="0" applyBorder="1" applyFont="1"/>
    <xf borderId="34" fillId="0" fontId="4" numFmtId="0" xfId="0" applyBorder="1" applyFont="1"/>
    <xf borderId="17" fillId="0" fontId="12" numFmtId="0" xfId="0" applyAlignment="1" applyBorder="1" applyFont="1">
      <alignment vertical="center"/>
    </xf>
    <xf borderId="31" fillId="0" fontId="10" numFmtId="0" xfId="0" applyAlignment="1" applyBorder="1" applyFont="1">
      <alignment horizontal="center" readingOrder="0" shrinkToFit="0" vertical="center" wrapText="0"/>
    </xf>
    <xf borderId="23" fillId="0" fontId="1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readingOrder="0" vertical="center"/>
    </xf>
    <xf borderId="12" fillId="2" fontId="13" numFmtId="0" xfId="0" applyAlignment="1" applyBorder="1" applyFill="1" applyFont="1">
      <alignment horizontal="center" shrinkToFit="0" vertical="center" wrapText="0"/>
    </xf>
    <xf borderId="35" fillId="2" fontId="13" numFmtId="0" xfId="0" applyAlignment="1" applyBorder="1" applyFont="1">
      <alignment horizontal="center" shrinkToFit="0" vertical="center" wrapText="0"/>
    </xf>
    <xf borderId="36" fillId="2" fontId="13" numFmtId="0" xfId="0" applyAlignment="1" applyBorder="1" applyFont="1">
      <alignment horizontal="center" shrinkToFit="0" vertical="center" wrapText="0"/>
    </xf>
    <xf borderId="13" fillId="2" fontId="13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left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right" shrinkToFit="0" vertical="bottom" wrapText="0"/>
    </xf>
    <xf borderId="12" fillId="0" fontId="1" numFmtId="0" xfId="0" applyAlignment="1" applyBorder="1" applyFont="1">
      <alignment horizontal="center" readingOrder="0" shrinkToFit="0" vertical="bottom" wrapText="0"/>
    </xf>
    <xf borderId="9" fillId="2" fontId="1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11" fillId="2" fontId="1" numFmtId="0" xfId="0" applyAlignment="1" applyBorder="1" applyFont="1">
      <alignment horizontal="center" shrinkToFit="0" vertical="bottom" wrapText="0"/>
    </xf>
    <xf borderId="37" fillId="0" fontId="6" numFmtId="0" xfId="0" applyAlignment="1" applyBorder="1" applyFont="1">
      <alignment horizontal="center" readingOrder="0" shrinkToFit="0" textRotation="90" vertical="top" wrapText="0"/>
    </xf>
    <xf borderId="38" fillId="0" fontId="6" numFmtId="0" xfId="0" applyAlignment="1" applyBorder="1" applyFont="1">
      <alignment horizontal="center" readingOrder="0" shrinkToFit="0" textRotation="90" vertical="top" wrapText="0"/>
    </xf>
    <xf borderId="39" fillId="0" fontId="6" numFmtId="0" xfId="0" applyAlignment="1" applyBorder="1" applyFont="1">
      <alignment horizontal="center" readingOrder="0" shrinkToFit="0" textRotation="90" vertical="top" wrapText="0"/>
    </xf>
    <xf borderId="40" fillId="0" fontId="6" numFmtId="0" xfId="0" applyAlignment="1" applyBorder="1" applyFont="1">
      <alignment horizontal="center" readingOrder="0" shrinkToFit="0" textRotation="90" vertical="top" wrapText="0"/>
    </xf>
    <xf borderId="4" fillId="0" fontId="1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17" xfId="0" applyAlignment="1" applyFont="1" applyNumberFormat="1">
      <alignment horizontal="right" shrinkToFit="0" textRotation="27" vertical="center" wrapText="0"/>
    </xf>
    <xf borderId="41" fillId="0" fontId="6" numFmtId="49" xfId="0" applyAlignment="1" applyBorder="1" applyFont="1" applyNumberFormat="1">
      <alignment horizontal="center" readingOrder="0" shrinkToFit="0" textRotation="90" vertical="top" wrapText="1"/>
    </xf>
    <xf borderId="42" fillId="0" fontId="6" numFmtId="49" xfId="0" applyAlignment="1" applyBorder="1" applyFont="1" applyNumberFormat="1">
      <alignment horizontal="center" readingOrder="0" shrinkToFit="0" textRotation="90" vertical="top" wrapText="1"/>
    </xf>
    <xf borderId="43" fillId="0" fontId="6" numFmtId="49" xfId="0" applyAlignment="1" applyBorder="1" applyFont="1" applyNumberFormat="1">
      <alignment horizontal="center" readingOrder="0" shrinkToFit="0" textRotation="90" vertical="top" wrapText="1"/>
    </xf>
    <xf borderId="44" fillId="0" fontId="6" numFmtId="49" xfId="0" applyAlignment="1" applyBorder="1" applyFont="1" applyNumberFormat="1">
      <alignment horizontal="center" readingOrder="0" shrinkToFit="0" textRotation="90" vertical="top" wrapText="1"/>
    </xf>
    <xf borderId="45" fillId="0" fontId="6" numFmtId="49" xfId="0" applyAlignment="1" applyBorder="1" applyFont="1" applyNumberFormat="1">
      <alignment horizontal="center" readingOrder="0" shrinkToFit="0" textRotation="90" vertical="top" wrapText="1"/>
    </xf>
    <xf borderId="37" fillId="0" fontId="6" numFmtId="0" xfId="0" applyAlignment="1" applyBorder="1" applyFont="1">
      <alignment horizontal="center" readingOrder="0" shrinkToFit="0" textRotation="90" vertical="top" wrapText="1"/>
    </xf>
    <xf borderId="4" fillId="0" fontId="6" numFmtId="0" xfId="0" applyAlignment="1" applyBorder="1" applyFont="1">
      <alignment horizontal="center" readingOrder="0" shrinkToFit="0" textRotation="90" vertical="top" wrapText="1"/>
    </xf>
    <xf borderId="46" fillId="0" fontId="6" numFmtId="0" xfId="0" applyAlignment="1" applyBorder="1" applyFont="1">
      <alignment horizontal="center" readingOrder="0" shrinkToFit="0" textRotation="90" vertical="top" wrapText="1"/>
    </xf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0" fillId="0" fontId="5" numFmtId="0" xfId="0" applyAlignment="1" applyFont="1">
      <alignment horizontal="right" shrinkToFit="0" vertical="bottom" wrapText="0"/>
    </xf>
    <xf borderId="47" fillId="0" fontId="4" numFmtId="0" xfId="0" applyBorder="1" applyFont="1"/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4" fillId="0" fontId="4" numFmtId="0" xfId="0" applyBorder="1" applyFont="1"/>
    <xf borderId="46" fillId="0" fontId="4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1" fillId="0" fontId="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0"/>
    </xf>
    <xf borderId="5" fillId="0" fontId="1" numFmtId="0" xfId="0" applyAlignment="1" applyBorder="1" applyFont="1">
      <alignment horizontal="left" shrinkToFit="0" vertical="top" wrapText="0"/>
    </xf>
    <xf borderId="0" fillId="0" fontId="1" numFmtId="0" xfId="0" applyAlignment="1" applyFont="1">
      <alignment horizontal="center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left" shrinkToFit="0" vertical="top" wrapText="0"/>
    </xf>
    <xf borderId="0" fillId="0" fontId="14" numFmtId="165" xfId="0" applyAlignment="1" applyFont="1" applyNumberFormat="1">
      <alignment horizontal="right"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left" shrinkToFit="0" vertical="top" wrapText="0"/>
    </xf>
    <xf borderId="7" fillId="0" fontId="1" numFmtId="0" xfId="0" applyAlignment="1" applyBorder="1" applyFont="1">
      <alignment horizontal="left" shrinkToFit="0" vertical="top" wrapText="0"/>
    </xf>
    <xf borderId="8" fillId="0" fontId="1" numFmtId="0" xfId="0" applyAlignment="1" applyBorder="1" applyFont="1">
      <alignment horizontal="left" shrinkToFit="0" vertical="top" wrapText="0"/>
    </xf>
    <xf borderId="59" fillId="0" fontId="1" numFmtId="0" xfId="0" applyAlignment="1" applyBorder="1" applyFont="1">
      <alignment horizontal="left" shrinkToFit="0" vertical="bottom" wrapText="0"/>
    </xf>
    <xf borderId="60" fillId="0" fontId="4" numFmtId="0" xfId="0" applyBorder="1" applyFont="1"/>
    <xf borderId="61" fillId="0" fontId="4" numFmtId="0" xfId="0" applyBorder="1" applyFont="1"/>
    <xf borderId="62" fillId="0" fontId="1" numFmtId="0" xfId="0" applyAlignment="1" applyBorder="1" applyFont="1">
      <alignment horizontal="left" shrinkToFit="0" vertical="bottom" wrapText="0"/>
    </xf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1" numFmtId="0" xfId="0" applyAlignment="1" applyBorder="1" applyFont="1">
      <alignment horizontal="left" shrinkToFit="0" vertical="bottom" wrapText="0"/>
    </xf>
    <xf borderId="69" fillId="0" fontId="4" numFmtId="0" xfId="0" applyBorder="1" applyFont="1"/>
    <xf borderId="70" fillId="0" fontId="4" numFmtId="0" xfId="0" applyBorder="1" applyFont="1"/>
    <xf borderId="0" fillId="0" fontId="16" numFmtId="166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53</xdr:row>
      <xdr:rowOff>0</xdr:rowOff>
    </xdr:from>
    <xdr:ext cx="4400550" cy="2219325"/>
    <xdr:grpSp>
      <xdr:nvGrpSpPr>
        <xdr:cNvPr id="2" name="Shape 2"/>
        <xdr:cNvGrpSpPr/>
      </xdr:nvGrpSpPr>
      <xdr:grpSpPr>
        <a:xfrm>
          <a:off x="3145725" y="2670338"/>
          <a:ext cx="4400550" cy="2219325"/>
          <a:chOff x="3145725" y="2670338"/>
          <a:chExt cx="4400550" cy="2219325"/>
        </a:xfrm>
      </xdr:grpSpPr>
      <xdr:cxnSp>
        <xdr:nvCxnSpPr>
          <xdr:cNvPr id="3" name="Shape 3"/>
          <xdr:cNvCxnSpPr/>
        </xdr:nvCxnSpPr>
        <xdr:spPr>
          <a:xfrm>
            <a:off x="3145725" y="2670338"/>
            <a:ext cx="4400550" cy="2219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152400</xdr:colOff>
      <xdr:row>59</xdr:row>
      <xdr:rowOff>-19050</xdr:rowOff>
    </xdr:from>
    <xdr:ext cx="2419350" cy="38100"/>
    <xdr:grpSp>
      <xdr:nvGrpSpPr>
        <xdr:cNvPr id="2" name="Shape 2"/>
        <xdr:cNvGrpSpPr/>
      </xdr:nvGrpSpPr>
      <xdr:grpSpPr>
        <a:xfrm>
          <a:off x="4136325" y="3780000"/>
          <a:ext cx="2419350" cy="0"/>
          <a:chOff x="4136325" y="3780000"/>
          <a:chExt cx="2419350" cy="0"/>
        </a:xfrm>
      </xdr:grpSpPr>
      <xdr:cxnSp>
        <xdr:nvCxnSpPr>
          <xdr:cNvPr id="4" name="Shape 4"/>
          <xdr:cNvCxnSpPr/>
        </xdr:nvCxnSpPr>
        <xdr:spPr>
          <a:xfrm>
            <a:off x="4136325" y="3780000"/>
            <a:ext cx="2419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0</xdr:colOff>
      <xdr:row>53</xdr:row>
      <xdr:rowOff>0</xdr:rowOff>
    </xdr:from>
    <xdr:ext cx="3505200" cy="2219325"/>
    <xdr:grpSp>
      <xdr:nvGrpSpPr>
        <xdr:cNvPr id="2" name="Shape 2"/>
        <xdr:cNvGrpSpPr/>
      </xdr:nvGrpSpPr>
      <xdr:grpSpPr>
        <a:xfrm>
          <a:off x="3598163" y="2670338"/>
          <a:ext cx="3495675" cy="2219325"/>
          <a:chOff x="3598163" y="2670338"/>
          <a:chExt cx="3495675" cy="2219325"/>
        </a:xfrm>
      </xdr:grpSpPr>
      <xdr:cxnSp>
        <xdr:nvCxnSpPr>
          <xdr:cNvPr id="5" name="Shape 5"/>
          <xdr:cNvCxnSpPr/>
        </xdr:nvCxnSpPr>
        <xdr:spPr>
          <a:xfrm flipH="1" rot="10800000">
            <a:off x="3598163" y="2670338"/>
            <a:ext cx="3495675" cy="2219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466725</xdr:colOff>
      <xdr:row>53</xdr:row>
      <xdr:rowOff>19050</xdr:rowOff>
    </xdr:from>
    <xdr:ext cx="2266950" cy="257175"/>
    <xdr:sp>
      <xdr:nvSpPr>
        <xdr:cNvPr id="6" name="Shape 6"/>
        <xdr:cNvSpPr/>
      </xdr:nvSpPr>
      <xdr:spPr>
        <a:xfrm>
          <a:off x="4217288" y="3656175"/>
          <a:ext cx="225742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Major Tasks</a:t>
          </a:r>
          <a:endParaRPr sz="1400"/>
        </a:p>
      </xdr:txBody>
    </xdr:sp>
    <xdr:clientData fLocksWithSheet="0"/>
  </xdr:oneCellAnchor>
  <xdr:oneCellAnchor>
    <xdr:from>
      <xdr:col>11</xdr:col>
      <xdr:colOff>342900</xdr:colOff>
      <xdr:row>65</xdr:row>
      <xdr:rowOff>28575</xdr:rowOff>
    </xdr:from>
    <xdr:ext cx="2990850" cy="266700"/>
    <xdr:sp>
      <xdr:nvSpPr>
        <xdr:cNvPr id="7" name="Shape 7"/>
        <xdr:cNvSpPr/>
      </xdr:nvSpPr>
      <xdr:spPr>
        <a:xfrm>
          <a:off x="3855338" y="3651413"/>
          <a:ext cx="298132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Summary &amp; Forecast</a:t>
          </a:r>
          <a:endParaRPr sz="1400"/>
        </a:p>
      </xdr:txBody>
    </xdr:sp>
    <xdr:clientData fLocksWithSheet="0"/>
  </xdr:oneCellAnchor>
  <xdr:oneCellAnchor>
    <xdr:from>
      <xdr:col>10</xdr:col>
      <xdr:colOff>9525</xdr:colOff>
      <xdr:row>56</xdr:row>
      <xdr:rowOff>19050</xdr:rowOff>
    </xdr:from>
    <xdr:ext cx="1066800" cy="1019175"/>
    <xdr:sp>
      <xdr:nvSpPr>
        <xdr:cNvPr id="8" name="Shape 8"/>
        <xdr:cNvSpPr/>
      </xdr:nvSpPr>
      <xdr:spPr>
        <a:xfrm>
          <a:off x="4817363" y="3275175"/>
          <a:ext cx="1057275" cy="10096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Objectives</a:t>
          </a:r>
          <a:endParaRPr sz="1400"/>
        </a:p>
      </xdr:txBody>
    </xdr:sp>
    <xdr:clientData fLocksWithSheet="0"/>
  </xdr:oneCellAnchor>
  <xdr:oneCellAnchor>
    <xdr:from>
      <xdr:col>11</xdr:col>
      <xdr:colOff>1171575</xdr:colOff>
      <xdr:row>56</xdr:row>
      <xdr:rowOff>-19050</xdr:rowOff>
    </xdr:from>
    <xdr:ext cx="1104900" cy="942975"/>
    <xdr:sp>
      <xdr:nvSpPr>
        <xdr:cNvPr id="9" name="Shape 9"/>
        <xdr:cNvSpPr/>
      </xdr:nvSpPr>
      <xdr:spPr>
        <a:xfrm rot="-5700000">
          <a:off x="4926900" y="3270413"/>
          <a:ext cx="838200" cy="1019175"/>
        </a:xfrm>
        <a:custGeom>
          <a:rect b="b" l="l" r="r" t="t"/>
          <a:pathLst>
            <a:path extrusionOk="0" h="899297" w="844728">
              <a:moveTo>
                <a:pt x="422364" y="0"/>
              </a:moveTo>
              <a:cubicBezTo>
                <a:pt x="654424" y="0"/>
                <a:pt x="843019" y="199316"/>
                <a:pt x="844717" y="446360"/>
              </a:cubicBezTo>
              <a:cubicBezTo>
                <a:pt x="846412" y="693062"/>
                <a:pt x="661074" y="895146"/>
                <a:pt x="429367" y="899236"/>
              </a:cubicBezTo>
              <a:cubicBezTo>
                <a:pt x="197018" y="903338"/>
                <a:pt x="5201" y="706849"/>
                <a:pt x="102" y="459516"/>
              </a:cubicBezTo>
              <a:lnTo>
                <a:pt x="422364" y="449649"/>
              </a:lnTo>
              <a:lnTo>
                <a:pt x="422364" y="0"/>
              </a:lnTo>
              <a:close/>
            </a:path>
            <a:path extrusionOk="0" fill="none" h="899297" w="844728">
              <a:moveTo>
                <a:pt x="422364" y="0"/>
              </a:moveTo>
              <a:cubicBezTo>
                <a:pt x="654424" y="0"/>
                <a:pt x="843019" y="199316"/>
                <a:pt x="844717" y="446360"/>
              </a:cubicBezTo>
              <a:cubicBezTo>
                <a:pt x="846412" y="693062"/>
                <a:pt x="661074" y="895146"/>
                <a:pt x="429367" y="899236"/>
              </a:cubicBezTo>
              <a:cubicBezTo>
                <a:pt x="197018" y="903338"/>
                <a:pt x="5201" y="706849"/>
                <a:pt x="102" y="459516"/>
              </a:cubicBezTo>
            </a:path>
          </a:pathLst>
        </a:custGeom>
        <a:noFill/>
        <a:ln cap="rnd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1438275</xdr:colOff>
      <xdr:row>53</xdr:row>
      <xdr:rowOff>0</xdr:rowOff>
    </xdr:from>
    <xdr:ext cx="1143000" cy="962025"/>
    <xdr:sp>
      <xdr:nvSpPr>
        <xdr:cNvPr id="10" name="Shape 10"/>
        <xdr:cNvSpPr/>
      </xdr:nvSpPr>
      <xdr:spPr>
        <a:xfrm>
          <a:off x="4779263" y="3298988"/>
          <a:ext cx="1133475" cy="962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Target Dates</a:t>
          </a:r>
          <a:endParaRPr sz="1400"/>
        </a:p>
      </xdr:txBody>
    </xdr:sp>
    <xdr:clientData fLocksWithSheet="0"/>
  </xdr:oneCellAnchor>
  <xdr:oneCellAnchor>
    <xdr:from>
      <xdr:col>13</xdr:col>
      <xdr:colOff>142875</xdr:colOff>
      <xdr:row>59</xdr:row>
      <xdr:rowOff>0</xdr:rowOff>
    </xdr:from>
    <xdr:ext cx="609600" cy="1247775"/>
    <xdr:sp>
      <xdr:nvSpPr>
        <xdr:cNvPr id="11" name="Shape 11"/>
        <xdr:cNvSpPr/>
      </xdr:nvSpPr>
      <xdr:spPr>
        <a:xfrm>
          <a:off x="5045963" y="3160875"/>
          <a:ext cx="600075" cy="1238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Key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.67"/>
    <col customWidth="1" min="2" max="11" width="3.22"/>
    <col customWidth="1" min="12" max="12" width="18.11"/>
    <col customWidth="1" min="13" max="13" width="21.33"/>
    <col customWidth="1" min="14" max="14" width="9.78"/>
    <col customWidth="1" min="15" max="53" width="5.0"/>
    <col customWidth="1" min="54" max="54" width="4.11"/>
    <col customWidth="1" min="55" max="56" width="4.33"/>
    <col customWidth="1" min="57" max="57" width="2.67"/>
    <col customWidth="1" min="58" max="58" width="6.67"/>
    <col customWidth="1" min="59" max="59" width="7.89"/>
    <col customWidth="1" min="60" max="60" width="8.22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2"/>
      <c r="BG1" s="3"/>
      <c r="BH1" s="3"/>
    </row>
    <row r="2" ht="18.0" customHeight="1">
      <c r="A2" s="4"/>
      <c r="B2" s="5"/>
      <c r="C2" s="6"/>
      <c r="D2" s="6"/>
      <c r="E2" s="7"/>
      <c r="F2" s="7"/>
      <c r="G2" s="7"/>
      <c r="H2" s="7"/>
      <c r="I2" s="7"/>
      <c r="J2" s="7"/>
      <c r="K2" s="8" t="s">
        <v>0</v>
      </c>
      <c r="L2" s="7"/>
      <c r="M2" s="9" t="s">
        <v>1</v>
      </c>
      <c r="N2" s="7"/>
      <c r="O2" s="7" t="s">
        <v>2</v>
      </c>
      <c r="P2" s="10"/>
      <c r="Q2" s="10"/>
      <c r="R2" s="10"/>
      <c r="S2" s="10"/>
      <c r="T2" s="10"/>
      <c r="U2" s="9" t="s">
        <v>3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3"/>
      <c r="BC2" s="14"/>
      <c r="BD2" s="15"/>
      <c r="BE2" s="4"/>
      <c r="BF2" s="16"/>
      <c r="BG2" s="17"/>
      <c r="BH2" s="17"/>
    </row>
    <row r="3" ht="18.0" customHeight="1">
      <c r="A3" s="4"/>
      <c r="B3" s="18"/>
      <c r="C3" s="4"/>
      <c r="D3" s="4"/>
      <c r="E3" s="19"/>
      <c r="F3" s="19"/>
      <c r="G3" s="19"/>
      <c r="H3" s="19"/>
      <c r="I3" s="19"/>
      <c r="J3" s="19"/>
      <c r="K3" s="20" t="s">
        <v>4</v>
      </c>
      <c r="BD3" s="21"/>
      <c r="BE3" s="4"/>
      <c r="BF3" s="16"/>
      <c r="BG3" s="17"/>
      <c r="BH3" s="17"/>
    </row>
    <row r="4" ht="15.75" customHeight="1">
      <c r="A4" s="22"/>
      <c r="B4" s="23"/>
      <c r="C4" s="24"/>
      <c r="D4" s="24"/>
      <c r="E4" s="24"/>
      <c r="F4" s="24"/>
      <c r="G4" s="24"/>
      <c r="H4" s="24"/>
      <c r="I4" s="24"/>
      <c r="J4" s="24"/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7"/>
      <c r="BE4" s="22"/>
      <c r="BF4" s="28"/>
      <c r="BG4" s="29"/>
      <c r="BH4" s="29"/>
    </row>
    <row r="5" ht="13.5" customHeight="1">
      <c r="A5" s="1"/>
      <c r="B5" s="30" t="s">
        <v>5</v>
      </c>
      <c r="C5" s="31"/>
      <c r="D5" s="31"/>
      <c r="E5" s="31"/>
      <c r="F5" s="31"/>
      <c r="G5" s="31"/>
      <c r="H5" s="31"/>
      <c r="I5" s="31"/>
      <c r="J5" s="32"/>
      <c r="K5" s="33"/>
      <c r="L5" s="34" t="s">
        <v>6</v>
      </c>
      <c r="M5" s="35"/>
      <c r="N5" s="35"/>
      <c r="O5" s="36" t="s">
        <v>7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2"/>
      <c r="BB5" s="37" t="s">
        <v>8</v>
      </c>
      <c r="BC5" s="11"/>
      <c r="BD5" s="38"/>
      <c r="BE5" s="1"/>
      <c r="BF5" s="2"/>
      <c r="BG5" s="3"/>
      <c r="BH5" s="3"/>
    </row>
    <row r="6" ht="12.75" customHeight="1">
      <c r="A6" s="1"/>
      <c r="B6" s="39" t="s">
        <v>9</v>
      </c>
      <c r="C6" s="40"/>
      <c r="D6" s="40"/>
      <c r="E6" s="40"/>
      <c r="F6" s="40"/>
      <c r="G6" s="40"/>
      <c r="H6" s="40"/>
      <c r="I6" s="40"/>
      <c r="J6" s="40"/>
      <c r="K6" s="41">
        <v>1.0</v>
      </c>
      <c r="L6" s="42" t="s">
        <v>10</v>
      </c>
      <c r="M6" s="43"/>
      <c r="N6" s="44"/>
      <c r="O6" s="45" t="s">
        <v>9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6" t="s">
        <v>11</v>
      </c>
      <c r="BC6" s="47" t="s">
        <v>12</v>
      </c>
      <c r="BD6" s="48"/>
      <c r="BE6" s="1"/>
      <c r="BF6" s="2"/>
      <c r="BG6" s="3"/>
      <c r="BH6" s="3"/>
    </row>
    <row r="7" ht="12.75" customHeight="1">
      <c r="A7" s="1"/>
      <c r="B7" s="49"/>
      <c r="C7" s="40"/>
      <c r="D7" s="50" t="s">
        <v>9</v>
      </c>
      <c r="E7" s="40"/>
      <c r="F7" s="40"/>
      <c r="G7" s="40"/>
      <c r="H7" s="40"/>
      <c r="I7" s="40"/>
      <c r="J7" s="40"/>
      <c r="K7" s="51">
        <f t="shared" ref="K7:K52" si="1"> K6 + 1</f>
        <v>2</v>
      </c>
      <c r="L7" s="42" t="s">
        <v>13</v>
      </c>
      <c r="M7" s="43"/>
      <c r="N7" s="44"/>
      <c r="O7" s="45"/>
      <c r="P7" s="45" t="s">
        <v>9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6" t="s">
        <v>11</v>
      </c>
      <c r="BC7" s="47"/>
      <c r="BD7" s="48" t="s">
        <v>12</v>
      </c>
      <c r="BE7" s="1"/>
      <c r="BF7" s="2"/>
      <c r="BG7" s="3"/>
      <c r="BH7" s="3"/>
    </row>
    <row r="8" ht="12.75" customHeight="1">
      <c r="A8" s="1"/>
      <c r="B8" s="49"/>
      <c r="C8" s="40"/>
      <c r="D8" s="50" t="s">
        <v>9</v>
      </c>
      <c r="E8" s="40"/>
      <c r="F8" s="40"/>
      <c r="G8" s="40"/>
      <c r="H8" s="40"/>
      <c r="I8" s="40"/>
      <c r="J8" s="40"/>
      <c r="K8" s="51">
        <f t="shared" si="1"/>
        <v>3</v>
      </c>
      <c r="L8" s="42" t="s">
        <v>14</v>
      </c>
      <c r="M8" s="43"/>
      <c r="N8" s="44"/>
      <c r="O8" s="45"/>
      <c r="P8" s="45" t="s">
        <v>9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6"/>
      <c r="BC8" s="47" t="s">
        <v>11</v>
      </c>
      <c r="BD8" s="48" t="s">
        <v>12</v>
      </c>
      <c r="BE8" s="1"/>
      <c r="BF8" s="2"/>
      <c r="BG8" s="3"/>
      <c r="BH8" s="3"/>
    </row>
    <row r="9" ht="12.75" customHeight="1">
      <c r="A9" s="1"/>
      <c r="B9" s="49"/>
      <c r="C9" s="40"/>
      <c r="D9" s="50" t="s">
        <v>9</v>
      </c>
      <c r="E9" s="40"/>
      <c r="F9" s="40"/>
      <c r="G9" s="40"/>
      <c r="H9" s="40"/>
      <c r="I9" s="40"/>
      <c r="J9" s="40"/>
      <c r="K9" s="51">
        <f t="shared" si="1"/>
        <v>4</v>
      </c>
      <c r="L9" s="42" t="s">
        <v>15</v>
      </c>
      <c r="M9" s="43"/>
      <c r="N9" s="44"/>
      <c r="O9" s="45"/>
      <c r="P9" s="45"/>
      <c r="Q9" s="45" t="s">
        <v>9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6"/>
      <c r="BC9" s="47" t="s">
        <v>11</v>
      </c>
      <c r="BD9" s="48"/>
      <c r="BE9" s="1"/>
      <c r="BF9" s="2"/>
      <c r="BG9" s="3"/>
      <c r="BH9" s="3"/>
    </row>
    <row r="10" ht="12.75" customHeight="1">
      <c r="A10" s="1"/>
      <c r="B10" s="49"/>
      <c r="C10" s="40"/>
      <c r="D10" s="50" t="s">
        <v>9</v>
      </c>
      <c r="E10" s="40"/>
      <c r="F10" s="40"/>
      <c r="G10" s="40"/>
      <c r="H10" s="40"/>
      <c r="I10" s="40"/>
      <c r="J10" s="40"/>
      <c r="K10" s="51">
        <f t="shared" si="1"/>
        <v>5</v>
      </c>
      <c r="L10" s="42" t="s">
        <v>16</v>
      </c>
      <c r="M10" s="43"/>
      <c r="N10" s="44"/>
      <c r="O10" s="45"/>
      <c r="P10" s="45"/>
      <c r="Q10" s="45"/>
      <c r="R10" s="45" t="s">
        <v>9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6" t="s">
        <v>11</v>
      </c>
      <c r="BC10" s="47"/>
      <c r="BD10" s="48"/>
      <c r="BE10" s="1"/>
      <c r="BF10" s="2"/>
      <c r="BG10" s="3"/>
      <c r="BH10" s="3"/>
    </row>
    <row r="11" ht="12.75" customHeight="1">
      <c r="A11" s="1"/>
      <c r="B11" s="49"/>
      <c r="C11" s="40"/>
      <c r="D11" s="50" t="s">
        <v>9</v>
      </c>
      <c r="E11" s="40"/>
      <c r="F11" s="40"/>
      <c r="G11" s="40"/>
      <c r="H11" s="40"/>
      <c r="I11" s="40"/>
      <c r="J11" s="40"/>
      <c r="K11" s="51">
        <f t="shared" si="1"/>
        <v>6</v>
      </c>
      <c r="L11" s="42" t="s">
        <v>17</v>
      </c>
      <c r="M11" s="43"/>
      <c r="N11" s="44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 t="s">
        <v>9</v>
      </c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6" t="s">
        <v>12</v>
      </c>
      <c r="BC11" s="47"/>
      <c r="BD11" s="48" t="s">
        <v>11</v>
      </c>
      <c r="BE11" s="1"/>
      <c r="BF11" s="2"/>
      <c r="BG11" s="3"/>
      <c r="BH11" s="3"/>
    </row>
    <row r="12" ht="12.75" customHeight="1">
      <c r="A12" s="1"/>
      <c r="B12" s="49"/>
      <c r="C12" s="40"/>
      <c r="D12" s="50" t="s">
        <v>9</v>
      </c>
      <c r="E12" s="40"/>
      <c r="F12" s="40"/>
      <c r="G12" s="40"/>
      <c r="H12" s="40"/>
      <c r="I12" s="40"/>
      <c r="J12" s="40"/>
      <c r="K12" s="51">
        <f t="shared" si="1"/>
        <v>7</v>
      </c>
      <c r="L12" s="42" t="s">
        <v>18</v>
      </c>
      <c r="M12" s="43"/>
      <c r="N12" s="44"/>
      <c r="O12" s="45"/>
      <c r="P12" s="45"/>
      <c r="Q12" s="45"/>
      <c r="R12" s="45"/>
      <c r="S12" s="45" t="s">
        <v>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6" t="s">
        <v>11</v>
      </c>
      <c r="BC12" s="47" t="s">
        <v>12</v>
      </c>
      <c r="BD12" s="48" t="s">
        <v>19</v>
      </c>
      <c r="BE12" s="1"/>
      <c r="BF12" s="2"/>
      <c r="BG12" s="3"/>
      <c r="BH12" s="3"/>
    </row>
    <row r="13" ht="12.75" customHeight="1">
      <c r="A13" s="1"/>
      <c r="B13" s="49"/>
      <c r="C13" s="50"/>
      <c r="D13" s="50" t="s">
        <v>9</v>
      </c>
      <c r="E13" s="40"/>
      <c r="F13" s="40"/>
      <c r="G13" s="40"/>
      <c r="H13" s="40"/>
      <c r="I13" s="40"/>
      <c r="J13" s="40"/>
      <c r="K13" s="51">
        <f t="shared" si="1"/>
        <v>8</v>
      </c>
      <c r="L13" s="42" t="s">
        <v>20</v>
      </c>
      <c r="M13" s="43"/>
      <c r="N13" s="44"/>
      <c r="O13" s="45"/>
      <c r="P13" s="45"/>
      <c r="Q13" s="45"/>
      <c r="R13" s="45" t="s">
        <v>9</v>
      </c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6" t="s">
        <v>11</v>
      </c>
      <c r="BC13" s="47"/>
      <c r="BD13" s="48"/>
      <c r="BE13" s="1"/>
      <c r="BF13" s="2"/>
      <c r="BG13" s="3"/>
      <c r="BH13" s="3"/>
    </row>
    <row r="14" ht="12.75" customHeight="1">
      <c r="A14" s="1"/>
      <c r="B14" s="52"/>
      <c r="C14" s="53"/>
      <c r="D14" s="54" t="s">
        <v>9</v>
      </c>
      <c r="E14" s="53"/>
      <c r="F14" s="53"/>
      <c r="G14" s="53"/>
      <c r="H14" s="53"/>
      <c r="I14" s="53"/>
      <c r="J14" s="53"/>
      <c r="K14" s="51">
        <f t="shared" si="1"/>
        <v>9</v>
      </c>
      <c r="L14" s="42" t="s">
        <v>21</v>
      </c>
      <c r="M14" s="43"/>
      <c r="N14" s="44"/>
      <c r="O14" s="45"/>
      <c r="P14" s="45"/>
      <c r="Q14" s="45"/>
      <c r="R14" s="45"/>
      <c r="S14" s="45" t="s">
        <v>9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6"/>
      <c r="BC14" s="47"/>
      <c r="BD14" s="48" t="s">
        <v>11</v>
      </c>
      <c r="BE14" s="1"/>
      <c r="BF14" s="2"/>
      <c r="BG14" s="3"/>
      <c r="BH14" s="3"/>
    </row>
    <row r="15" ht="12.75" customHeight="1">
      <c r="A15" s="1"/>
      <c r="B15" s="55" t="s">
        <v>9</v>
      </c>
      <c r="C15" s="56"/>
      <c r="D15" s="56"/>
      <c r="E15" s="57"/>
      <c r="F15" s="57"/>
      <c r="G15" s="57"/>
      <c r="H15" s="57"/>
      <c r="I15" s="57"/>
      <c r="J15" s="58"/>
      <c r="K15" s="51">
        <f t="shared" si="1"/>
        <v>10</v>
      </c>
      <c r="L15" s="42" t="s">
        <v>22</v>
      </c>
      <c r="M15" s="43"/>
      <c r="N15" s="44"/>
      <c r="O15" s="59" t="s">
        <v>9</v>
      </c>
      <c r="P15" s="60"/>
      <c r="Q15" s="60"/>
      <c r="R15" s="60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46" t="s">
        <v>11</v>
      </c>
      <c r="BC15" s="62"/>
      <c r="BD15" s="63"/>
      <c r="BE15" s="1"/>
      <c r="BF15" s="2"/>
      <c r="BG15" s="3"/>
      <c r="BH15" s="3"/>
    </row>
    <row r="16" ht="12.75" customHeight="1">
      <c r="A16" s="1"/>
      <c r="B16" s="55" t="s">
        <v>9</v>
      </c>
      <c r="C16" s="56"/>
      <c r="D16" s="56"/>
      <c r="E16" s="57"/>
      <c r="F16" s="57"/>
      <c r="G16" s="57"/>
      <c r="H16" s="57"/>
      <c r="I16" s="57"/>
      <c r="J16" s="58"/>
      <c r="K16" s="51">
        <f t="shared" si="1"/>
        <v>11</v>
      </c>
      <c r="L16" s="42" t="s">
        <v>23</v>
      </c>
      <c r="M16" s="43"/>
      <c r="N16" s="44"/>
      <c r="O16" s="64"/>
      <c r="P16" s="64"/>
      <c r="Q16" s="64"/>
      <c r="R16" s="64"/>
      <c r="S16" s="64"/>
      <c r="T16" s="45" t="s">
        <v>9</v>
      </c>
      <c r="U16" s="56"/>
      <c r="V16" s="56"/>
      <c r="W16" s="56"/>
      <c r="X16" s="56"/>
      <c r="Y16" s="56"/>
      <c r="Z16" s="56"/>
      <c r="AA16" s="56"/>
      <c r="AB16" s="56"/>
      <c r="AC16" s="56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46" t="s">
        <v>11</v>
      </c>
      <c r="BC16" s="47" t="s">
        <v>12</v>
      </c>
      <c r="BD16" s="63"/>
      <c r="BE16" s="1"/>
      <c r="BF16" s="2"/>
      <c r="BG16" s="3"/>
      <c r="BH16" s="3"/>
    </row>
    <row r="17" ht="12.75" customHeight="1">
      <c r="A17" s="1"/>
      <c r="B17" s="66"/>
      <c r="C17" s="45" t="s">
        <v>9</v>
      </c>
      <c r="D17" s="56"/>
      <c r="E17" s="57"/>
      <c r="F17" s="57"/>
      <c r="G17" s="57"/>
      <c r="H17" s="57"/>
      <c r="I17" s="57"/>
      <c r="J17" s="58"/>
      <c r="K17" s="51">
        <f t="shared" si="1"/>
        <v>12</v>
      </c>
      <c r="L17" s="42" t="s">
        <v>24</v>
      </c>
      <c r="M17" s="43"/>
      <c r="N17" s="44"/>
      <c r="O17" s="67"/>
      <c r="P17" s="64"/>
      <c r="Q17" s="64"/>
      <c r="R17" s="64"/>
      <c r="S17" s="64"/>
      <c r="T17" s="45"/>
      <c r="U17" s="45" t="s">
        <v>9</v>
      </c>
      <c r="V17" s="56"/>
      <c r="W17" s="56"/>
      <c r="X17" s="56"/>
      <c r="Y17" s="56"/>
      <c r="Z17" s="56"/>
      <c r="AA17" s="56"/>
      <c r="AB17" s="56"/>
      <c r="AC17" s="56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46"/>
      <c r="BC17" s="62"/>
      <c r="BD17" s="48" t="s">
        <v>11</v>
      </c>
      <c r="BE17" s="1"/>
      <c r="BF17" s="2"/>
      <c r="BG17" s="3"/>
      <c r="BH17" s="3"/>
    </row>
    <row r="18" ht="12.75" customHeight="1">
      <c r="A18" s="1"/>
      <c r="B18" s="55"/>
      <c r="C18" s="45" t="s">
        <v>9</v>
      </c>
      <c r="D18" s="56"/>
      <c r="E18" s="65"/>
      <c r="F18" s="65"/>
      <c r="G18" s="65"/>
      <c r="H18" s="65"/>
      <c r="I18" s="65"/>
      <c r="J18" s="68"/>
      <c r="K18" s="51">
        <f t="shared" si="1"/>
        <v>13</v>
      </c>
      <c r="L18" s="42" t="s">
        <v>25</v>
      </c>
      <c r="M18" s="43"/>
      <c r="N18" s="44"/>
      <c r="O18" s="67"/>
      <c r="P18" s="64"/>
      <c r="Q18" s="64"/>
      <c r="R18" s="64"/>
      <c r="S18" s="64"/>
      <c r="T18" s="45"/>
      <c r="U18" s="45"/>
      <c r="V18" s="45" t="s">
        <v>9</v>
      </c>
      <c r="W18" s="56"/>
      <c r="X18" s="56"/>
      <c r="Y18" s="56"/>
      <c r="Z18" s="56"/>
      <c r="AA18" s="56"/>
      <c r="AB18" s="56"/>
      <c r="AC18" s="56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57"/>
      <c r="AP18" s="57"/>
      <c r="AQ18" s="5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46" t="s">
        <v>11</v>
      </c>
      <c r="BC18" s="47"/>
      <c r="BD18" s="48" t="s">
        <v>12</v>
      </c>
      <c r="BE18" s="1"/>
      <c r="BF18" s="2"/>
      <c r="BG18" s="3"/>
      <c r="BH18" s="3"/>
    </row>
    <row r="19" ht="12.75" customHeight="1">
      <c r="A19" s="1"/>
      <c r="B19" s="66"/>
      <c r="C19" s="45" t="s">
        <v>9</v>
      </c>
      <c r="D19" s="56"/>
      <c r="E19" s="65"/>
      <c r="F19" s="65"/>
      <c r="G19" s="65"/>
      <c r="H19" s="65"/>
      <c r="I19" s="65"/>
      <c r="J19" s="68"/>
      <c r="K19" s="51">
        <f t="shared" si="1"/>
        <v>14</v>
      </c>
      <c r="L19" s="42" t="s">
        <v>26</v>
      </c>
      <c r="M19" s="43"/>
      <c r="N19" s="44"/>
      <c r="O19" s="67"/>
      <c r="P19" s="64"/>
      <c r="Q19" s="64"/>
      <c r="R19" s="64"/>
      <c r="S19" s="64"/>
      <c r="T19" s="45"/>
      <c r="U19" s="45"/>
      <c r="V19" s="56"/>
      <c r="W19" s="45" t="s">
        <v>9</v>
      </c>
      <c r="X19" s="56"/>
      <c r="Y19" s="56"/>
      <c r="Z19" s="56"/>
      <c r="AA19" s="56"/>
      <c r="AB19" s="56"/>
      <c r="AC19" s="56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46" t="s">
        <v>11</v>
      </c>
      <c r="BC19" s="62"/>
      <c r="BD19" s="48" t="s">
        <v>12</v>
      </c>
      <c r="BE19" s="1"/>
      <c r="BF19" s="2"/>
      <c r="BG19" s="2"/>
      <c r="BH19" s="3"/>
    </row>
    <row r="20" ht="12.75" customHeight="1">
      <c r="A20" s="1"/>
      <c r="B20" s="55" t="s">
        <v>9</v>
      </c>
      <c r="C20" s="56"/>
      <c r="D20" s="56"/>
      <c r="E20" s="65"/>
      <c r="F20" s="65"/>
      <c r="G20" s="65"/>
      <c r="H20" s="65"/>
      <c r="I20" s="65"/>
      <c r="J20" s="68"/>
      <c r="K20" s="51">
        <f t="shared" si="1"/>
        <v>15</v>
      </c>
      <c r="L20" s="42" t="s">
        <v>27</v>
      </c>
      <c r="M20" s="43"/>
      <c r="N20" s="44"/>
      <c r="O20" s="67"/>
      <c r="P20" s="67"/>
      <c r="Q20" s="67"/>
      <c r="R20" s="67"/>
      <c r="S20" s="67"/>
      <c r="T20" s="56"/>
      <c r="U20" s="45"/>
      <c r="V20" s="56"/>
      <c r="W20" s="45" t="s">
        <v>9</v>
      </c>
      <c r="X20" s="56"/>
      <c r="Y20" s="56"/>
      <c r="Z20" s="56"/>
      <c r="AA20" s="56"/>
      <c r="AB20" s="56"/>
      <c r="AC20" s="56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46" t="s">
        <v>11</v>
      </c>
      <c r="BC20" s="47" t="s">
        <v>12</v>
      </c>
      <c r="BD20" s="63"/>
      <c r="BE20" s="1"/>
      <c r="BF20" s="2"/>
      <c r="BG20" s="2"/>
      <c r="BH20" s="3"/>
    </row>
    <row r="21" ht="12.75" customHeight="1">
      <c r="A21" s="1"/>
      <c r="B21" s="55" t="s">
        <v>9</v>
      </c>
      <c r="C21" s="45"/>
      <c r="D21" s="56"/>
      <c r="E21" s="65"/>
      <c r="F21" s="65"/>
      <c r="G21" s="65"/>
      <c r="H21" s="65"/>
      <c r="I21" s="65"/>
      <c r="J21" s="68"/>
      <c r="K21" s="51">
        <f t="shared" si="1"/>
        <v>16</v>
      </c>
      <c r="L21" s="69" t="s">
        <v>28</v>
      </c>
      <c r="M21" s="43"/>
      <c r="N21" s="44"/>
      <c r="O21" s="67"/>
      <c r="P21" s="67"/>
      <c r="Q21" s="67"/>
      <c r="R21" s="67"/>
      <c r="S21" s="67"/>
      <c r="T21" s="56"/>
      <c r="U21" s="56"/>
      <c r="V21" s="45"/>
      <c r="W21" s="56"/>
      <c r="X21" s="56"/>
      <c r="Y21" s="56"/>
      <c r="Z21" s="45" t="s">
        <v>9</v>
      </c>
      <c r="AA21" s="56"/>
      <c r="AB21" s="56"/>
      <c r="AC21" s="56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46" t="s">
        <v>11</v>
      </c>
      <c r="BC21" s="62"/>
      <c r="BD21" s="63"/>
      <c r="BE21" s="1"/>
      <c r="BF21" s="2"/>
      <c r="BG21" s="2"/>
      <c r="BH21" s="3"/>
    </row>
    <row r="22" ht="12.75" customHeight="1">
      <c r="A22" s="1"/>
      <c r="B22" s="55" t="s">
        <v>9</v>
      </c>
      <c r="C22" s="45"/>
      <c r="D22" s="56"/>
      <c r="E22" s="65"/>
      <c r="F22" s="65"/>
      <c r="G22" s="65"/>
      <c r="H22" s="65"/>
      <c r="I22" s="65"/>
      <c r="J22" s="68"/>
      <c r="K22" s="51">
        <f t="shared" si="1"/>
        <v>17</v>
      </c>
      <c r="L22" s="70" t="s">
        <v>29</v>
      </c>
      <c r="M22" s="43"/>
      <c r="N22" s="44"/>
      <c r="O22" s="66"/>
      <c r="P22" s="67"/>
      <c r="Q22" s="67"/>
      <c r="R22" s="67"/>
      <c r="S22" s="67"/>
      <c r="T22" s="67"/>
      <c r="U22" s="56"/>
      <c r="V22" s="56"/>
      <c r="W22" s="45"/>
      <c r="X22" s="56"/>
      <c r="Y22" s="56"/>
      <c r="Z22" s="56"/>
      <c r="AA22" s="45" t="s">
        <v>9</v>
      </c>
      <c r="AB22" s="56"/>
      <c r="AC22" s="56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46"/>
      <c r="BC22" s="47" t="s">
        <v>11</v>
      </c>
      <c r="BD22" s="48" t="s">
        <v>12</v>
      </c>
      <c r="BE22" s="1"/>
      <c r="BF22" s="2"/>
      <c r="BG22" s="2"/>
      <c r="BH22" s="71" t="s">
        <v>30</v>
      </c>
    </row>
    <row r="23" ht="12.75" customHeight="1">
      <c r="A23" s="1"/>
      <c r="B23" s="55" t="s">
        <v>9</v>
      </c>
      <c r="C23" s="56"/>
      <c r="D23" s="56"/>
      <c r="E23" s="65"/>
      <c r="F23" s="65"/>
      <c r="G23" s="65"/>
      <c r="H23" s="65"/>
      <c r="I23" s="65"/>
      <c r="J23" s="68"/>
      <c r="K23" s="51">
        <f t="shared" si="1"/>
        <v>18</v>
      </c>
      <c r="L23" s="70" t="s">
        <v>31</v>
      </c>
      <c r="M23" s="43"/>
      <c r="N23" s="44"/>
      <c r="O23" s="66"/>
      <c r="P23" s="67"/>
      <c r="Q23" s="67"/>
      <c r="R23" s="67"/>
      <c r="S23" s="67"/>
      <c r="T23" s="67"/>
      <c r="U23" s="56"/>
      <c r="V23" s="56"/>
      <c r="W23" s="45"/>
      <c r="X23" s="45" t="s">
        <v>9</v>
      </c>
      <c r="Y23" s="56"/>
      <c r="Z23" s="56"/>
      <c r="AA23" s="56"/>
      <c r="AB23" s="56"/>
      <c r="AC23" s="56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46" t="s">
        <v>11</v>
      </c>
      <c r="BC23" s="47" t="s">
        <v>12</v>
      </c>
      <c r="BD23" s="48" t="s">
        <v>19</v>
      </c>
      <c r="BE23" s="1"/>
      <c r="BF23" s="2"/>
      <c r="BG23" s="2"/>
      <c r="BH23" s="3"/>
    </row>
    <row r="24" ht="12.75" customHeight="1">
      <c r="A24" s="1"/>
      <c r="B24" s="55" t="s">
        <v>9</v>
      </c>
      <c r="C24" s="45"/>
      <c r="D24" s="56"/>
      <c r="E24" s="65"/>
      <c r="F24" s="65"/>
      <c r="G24" s="65"/>
      <c r="H24" s="65"/>
      <c r="I24" s="65"/>
      <c r="J24" s="68"/>
      <c r="K24" s="51">
        <f t="shared" si="1"/>
        <v>19</v>
      </c>
      <c r="L24" s="70" t="s">
        <v>32</v>
      </c>
      <c r="M24" s="43"/>
      <c r="N24" s="44"/>
      <c r="O24" s="66"/>
      <c r="P24" s="67"/>
      <c r="Q24" s="67"/>
      <c r="R24" s="67"/>
      <c r="S24" s="67"/>
      <c r="T24" s="67"/>
      <c r="U24" s="56"/>
      <c r="V24" s="56"/>
      <c r="W24" s="56"/>
      <c r="X24" s="45"/>
      <c r="Y24" s="45" t="s">
        <v>9</v>
      </c>
      <c r="Z24" s="56"/>
      <c r="AA24" s="56"/>
      <c r="AB24" s="56"/>
      <c r="AC24" s="56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46" t="s">
        <v>11</v>
      </c>
      <c r="BC24" s="47" t="s">
        <v>12</v>
      </c>
      <c r="BD24" s="63"/>
      <c r="BE24" s="1"/>
      <c r="BF24" s="2"/>
      <c r="BG24" s="3"/>
      <c r="BH24" s="3"/>
    </row>
    <row r="25" ht="12.75" customHeight="1">
      <c r="A25" s="1"/>
      <c r="B25" s="66"/>
      <c r="C25" s="45"/>
      <c r="D25" s="56"/>
      <c r="E25" s="57" t="s">
        <v>9</v>
      </c>
      <c r="F25" s="65"/>
      <c r="G25" s="65"/>
      <c r="H25" s="65"/>
      <c r="I25" s="65"/>
      <c r="J25" s="68"/>
      <c r="K25" s="51">
        <f t="shared" si="1"/>
        <v>20</v>
      </c>
      <c r="L25" s="42" t="s">
        <v>33</v>
      </c>
      <c r="M25" s="43"/>
      <c r="N25" s="44"/>
      <c r="O25" s="66"/>
      <c r="P25" s="67"/>
      <c r="Q25" s="67"/>
      <c r="R25" s="67"/>
      <c r="S25" s="67"/>
      <c r="T25" s="67"/>
      <c r="U25" s="56"/>
      <c r="V25" s="56"/>
      <c r="W25" s="56"/>
      <c r="X25" s="45"/>
      <c r="Y25" s="56"/>
      <c r="Z25" s="56"/>
      <c r="AA25" s="56"/>
      <c r="AB25" s="45" t="s">
        <v>9</v>
      </c>
      <c r="AC25" s="56"/>
      <c r="AD25" s="56"/>
      <c r="AE25" s="56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46" t="s">
        <v>11</v>
      </c>
      <c r="BC25" s="47" t="s">
        <v>12</v>
      </c>
      <c r="BD25" s="63"/>
      <c r="BE25" s="1"/>
      <c r="BF25" s="2"/>
      <c r="BG25" s="3"/>
      <c r="BH25" s="3"/>
    </row>
    <row r="26" ht="12.75" customHeight="1">
      <c r="A26" s="1"/>
      <c r="B26" s="66"/>
      <c r="C26" s="45"/>
      <c r="D26" s="56"/>
      <c r="E26" s="57" t="s">
        <v>9</v>
      </c>
      <c r="F26" s="65"/>
      <c r="G26" s="65"/>
      <c r="H26" s="65"/>
      <c r="I26" s="65"/>
      <c r="J26" s="68"/>
      <c r="K26" s="51">
        <f t="shared" si="1"/>
        <v>21</v>
      </c>
      <c r="L26" s="42" t="s">
        <v>34</v>
      </c>
      <c r="M26" s="43"/>
      <c r="N26" s="44"/>
      <c r="O26" s="66"/>
      <c r="P26" s="67"/>
      <c r="Q26" s="67"/>
      <c r="R26" s="67"/>
      <c r="S26" s="67"/>
      <c r="T26" s="67"/>
      <c r="U26" s="56"/>
      <c r="V26" s="56"/>
      <c r="W26" s="56"/>
      <c r="X26" s="56"/>
      <c r="Y26" s="45"/>
      <c r="Z26" s="45"/>
      <c r="AA26" s="56"/>
      <c r="AB26" s="45"/>
      <c r="AC26" s="45" t="s">
        <v>9</v>
      </c>
      <c r="AD26" s="45" t="s">
        <v>9</v>
      </c>
      <c r="AE26" s="56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46" t="s">
        <v>11</v>
      </c>
      <c r="BC26" s="47" t="s">
        <v>12</v>
      </c>
      <c r="BD26" s="48" t="s">
        <v>19</v>
      </c>
      <c r="BE26" s="1"/>
      <c r="BF26" s="2"/>
      <c r="BG26" s="3"/>
      <c r="BH26" s="3"/>
    </row>
    <row r="27" ht="12.75" customHeight="1">
      <c r="A27" s="1"/>
      <c r="B27" s="66"/>
      <c r="C27" s="56"/>
      <c r="D27" s="45"/>
      <c r="E27" s="57" t="s">
        <v>9</v>
      </c>
      <c r="F27" s="65"/>
      <c r="G27" s="65"/>
      <c r="H27" s="65"/>
      <c r="I27" s="65"/>
      <c r="J27" s="68"/>
      <c r="K27" s="51">
        <f t="shared" si="1"/>
        <v>22</v>
      </c>
      <c r="L27" s="42" t="s">
        <v>35</v>
      </c>
      <c r="M27" s="43"/>
      <c r="N27" s="44"/>
      <c r="O27" s="66"/>
      <c r="P27" s="67"/>
      <c r="Q27" s="67"/>
      <c r="R27" s="67"/>
      <c r="S27" s="67"/>
      <c r="T27" s="67"/>
      <c r="U27" s="56"/>
      <c r="V27" s="56"/>
      <c r="W27" s="56"/>
      <c r="X27" s="56"/>
      <c r="Y27" s="45"/>
      <c r="Z27" s="45"/>
      <c r="AA27" s="56"/>
      <c r="AB27" s="56"/>
      <c r="AC27" s="45"/>
      <c r="AD27" s="56"/>
      <c r="AE27" s="45" t="s">
        <v>9</v>
      </c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46" t="s">
        <v>11</v>
      </c>
      <c r="BC27" s="62"/>
      <c r="BD27" s="63"/>
      <c r="BE27" s="1"/>
      <c r="BF27" s="2"/>
      <c r="BG27" s="3"/>
      <c r="BH27" s="3"/>
    </row>
    <row r="28" ht="12.75" customHeight="1">
      <c r="A28" s="1"/>
      <c r="B28" s="66"/>
      <c r="C28" s="45"/>
      <c r="D28" s="56"/>
      <c r="E28" s="65"/>
      <c r="F28" s="57" t="s">
        <v>9</v>
      </c>
      <c r="G28" s="65"/>
      <c r="H28" s="65"/>
      <c r="I28" s="65"/>
      <c r="J28" s="68"/>
      <c r="K28" s="51">
        <f t="shared" si="1"/>
        <v>23</v>
      </c>
      <c r="L28" s="42" t="s">
        <v>36</v>
      </c>
      <c r="M28" s="43"/>
      <c r="N28" s="44"/>
      <c r="O28" s="66"/>
      <c r="P28" s="67"/>
      <c r="Q28" s="67"/>
      <c r="R28" s="67"/>
      <c r="S28" s="67"/>
      <c r="T28" s="67"/>
      <c r="U28" s="56"/>
      <c r="V28" s="56"/>
      <c r="W28" s="56"/>
      <c r="X28" s="56"/>
      <c r="Y28" s="45"/>
      <c r="Z28" s="45"/>
      <c r="AA28" s="56"/>
      <c r="AB28" s="56"/>
      <c r="AC28" s="56"/>
      <c r="AD28" s="65"/>
      <c r="AE28" s="65"/>
      <c r="AF28" s="57"/>
      <c r="AG28" s="57" t="s">
        <v>9</v>
      </c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46" t="s">
        <v>11</v>
      </c>
      <c r="BC28" s="47" t="s">
        <v>12</v>
      </c>
      <c r="BD28" s="48" t="s">
        <v>19</v>
      </c>
      <c r="BE28" s="1"/>
      <c r="BF28" s="2"/>
      <c r="BG28" s="3"/>
      <c r="BH28" s="3"/>
    </row>
    <row r="29" ht="12.75" customHeight="1">
      <c r="A29" s="1"/>
      <c r="B29" s="66"/>
      <c r="C29" s="45"/>
      <c r="D29" s="56"/>
      <c r="E29" s="65"/>
      <c r="F29" s="57" t="s">
        <v>9</v>
      </c>
      <c r="G29" s="65"/>
      <c r="H29" s="65"/>
      <c r="I29" s="65"/>
      <c r="J29" s="68"/>
      <c r="K29" s="51">
        <f t="shared" si="1"/>
        <v>24</v>
      </c>
      <c r="L29" s="42" t="s">
        <v>37</v>
      </c>
      <c r="M29" s="43"/>
      <c r="N29" s="44"/>
      <c r="O29" s="66"/>
      <c r="P29" s="67"/>
      <c r="Q29" s="67"/>
      <c r="R29" s="67"/>
      <c r="S29" s="67"/>
      <c r="T29" s="67"/>
      <c r="U29" s="56"/>
      <c r="V29" s="56"/>
      <c r="W29" s="56"/>
      <c r="X29" s="56"/>
      <c r="Y29" s="45"/>
      <c r="Z29" s="45"/>
      <c r="AA29" s="56"/>
      <c r="AB29" s="56"/>
      <c r="AC29" s="56"/>
      <c r="AD29" s="57"/>
      <c r="AE29" s="57"/>
      <c r="AF29" s="57" t="s">
        <v>9</v>
      </c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46"/>
      <c r="BC29" s="62"/>
      <c r="BD29" s="48" t="s">
        <v>11</v>
      </c>
      <c r="BE29" s="1"/>
      <c r="BF29" s="2"/>
      <c r="BG29" s="3"/>
      <c r="BH29" s="3"/>
    </row>
    <row r="30" ht="12.75" customHeight="1">
      <c r="A30" s="1"/>
      <c r="B30" s="66"/>
      <c r="C30" s="45"/>
      <c r="D30" s="56"/>
      <c r="E30" s="65"/>
      <c r="F30" s="57" t="s">
        <v>9</v>
      </c>
      <c r="G30" s="65"/>
      <c r="H30" s="65"/>
      <c r="I30" s="65"/>
      <c r="J30" s="68"/>
      <c r="K30" s="51">
        <f t="shared" si="1"/>
        <v>25</v>
      </c>
      <c r="L30" s="42" t="s">
        <v>38</v>
      </c>
      <c r="M30" s="43"/>
      <c r="N30" s="44"/>
      <c r="O30" s="66"/>
      <c r="P30" s="67"/>
      <c r="Q30" s="67"/>
      <c r="R30" s="67"/>
      <c r="S30" s="67"/>
      <c r="T30" s="67"/>
      <c r="U30" s="56"/>
      <c r="V30" s="56"/>
      <c r="W30" s="56"/>
      <c r="X30" s="56"/>
      <c r="Y30" s="56"/>
      <c r="Z30" s="56"/>
      <c r="AA30" s="45"/>
      <c r="AB30" s="56"/>
      <c r="AC30" s="56"/>
      <c r="AD30" s="65"/>
      <c r="AE30" s="65"/>
      <c r="AF30" s="65"/>
      <c r="AG30" s="65"/>
      <c r="AH30" s="57" t="s">
        <v>9</v>
      </c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46" t="s">
        <v>11</v>
      </c>
      <c r="BC30" s="47" t="s">
        <v>12</v>
      </c>
      <c r="BD30" s="63"/>
      <c r="BE30" s="1"/>
      <c r="BF30" s="2"/>
      <c r="BG30" s="3"/>
      <c r="BH30" s="3"/>
    </row>
    <row r="31" ht="12.75" customHeight="1">
      <c r="A31" s="1"/>
      <c r="B31" s="66"/>
      <c r="C31" s="45"/>
      <c r="D31" s="56"/>
      <c r="E31" s="65"/>
      <c r="F31" s="57" t="s">
        <v>9</v>
      </c>
      <c r="G31" s="65"/>
      <c r="H31" s="65"/>
      <c r="I31" s="65"/>
      <c r="J31" s="68"/>
      <c r="K31" s="51">
        <f t="shared" si="1"/>
        <v>26</v>
      </c>
      <c r="L31" s="42" t="s">
        <v>39</v>
      </c>
      <c r="M31" s="43"/>
      <c r="N31" s="44"/>
      <c r="O31" s="66"/>
      <c r="P31" s="67"/>
      <c r="Q31" s="67"/>
      <c r="R31" s="67"/>
      <c r="S31" s="67"/>
      <c r="T31" s="67"/>
      <c r="U31" s="56"/>
      <c r="V31" s="56"/>
      <c r="W31" s="56"/>
      <c r="X31" s="56"/>
      <c r="Y31" s="56"/>
      <c r="Z31" s="56"/>
      <c r="AA31" s="45"/>
      <c r="AB31" s="56"/>
      <c r="AC31" s="56"/>
      <c r="AD31" s="65"/>
      <c r="AE31" s="65"/>
      <c r="AF31" s="65"/>
      <c r="AG31" s="65"/>
      <c r="AH31" s="65"/>
      <c r="AI31" s="57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46"/>
      <c r="BC31" s="47" t="s">
        <v>11</v>
      </c>
      <c r="BD31" s="63"/>
      <c r="BE31" s="1"/>
      <c r="BF31" s="2"/>
      <c r="BG31" s="3"/>
      <c r="BH31" s="3"/>
    </row>
    <row r="32" ht="12.75" customHeight="1">
      <c r="A32" s="1"/>
      <c r="B32" s="66"/>
      <c r="C32" s="45"/>
      <c r="D32" s="56"/>
      <c r="E32" s="65"/>
      <c r="F32" s="65"/>
      <c r="G32" s="57" t="s">
        <v>9</v>
      </c>
      <c r="H32" s="65"/>
      <c r="I32" s="65"/>
      <c r="J32" s="68"/>
      <c r="K32" s="51">
        <f t="shared" si="1"/>
        <v>27</v>
      </c>
      <c r="L32" s="42" t="s">
        <v>40</v>
      </c>
      <c r="M32" s="43"/>
      <c r="N32" s="44"/>
      <c r="O32" s="66"/>
      <c r="P32" s="67"/>
      <c r="Q32" s="67"/>
      <c r="R32" s="67"/>
      <c r="S32" s="67"/>
      <c r="T32" s="67"/>
      <c r="U32" s="56"/>
      <c r="V32" s="56"/>
      <c r="W32" s="56"/>
      <c r="X32" s="56"/>
      <c r="Y32" s="56"/>
      <c r="Z32" s="56"/>
      <c r="AA32" s="56"/>
      <c r="AB32" s="45"/>
      <c r="AC32" s="56"/>
      <c r="AD32" s="65"/>
      <c r="AE32" s="65"/>
      <c r="AF32" s="65"/>
      <c r="AG32" s="65"/>
      <c r="AH32" s="65"/>
      <c r="AI32" s="57"/>
      <c r="AJ32" s="65"/>
      <c r="AK32" s="57" t="s">
        <v>9</v>
      </c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46"/>
      <c r="BC32" s="62"/>
      <c r="BD32" s="48" t="s">
        <v>11</v>
      </c>
      <c r="BE32" s="1"/>
      <c r="BF32" s="2"/>
      <c r="BG32" s="3"/>
      <c r="BH32" s="3"/>
    </row>
    <row r="33" ht="12.75" customHeight="1">
      <c r="A33" s="1"/>
      <c r="B33" s="66"/>
      <c r="C33" s="45"/>
      <c r="D33" s="56"/>
      <c r="E33" s="65"/>
      <c r="F33" s="57" t="s">
        <v>9</v>
      </c>
      <c r="G33" s="65"/>
      <c r="H33" s="65"/>
      <c r="I33" s="65"/>
      <c r="J33" s="68"/>
      <c r="K33" s="51">
        <f t="shared" si="1"/>
        <v>28</v>
      </c>
      <c r="L33" s="42" t="s">
        <v>41</v>
      </c>
      <c r="M33" s="43"/>
      <c r="N33" s="44"/>
      <c r="O33" s="66"/>
      <c r="P33" s="67"/>
      <c r="Q33" s="67"/>
      <c r="R33" s="67"/>
      <c r="S33" s="67"/>
      <c r="T33" s="67"/>
      <c r="U33" s="56"/>
      <c r="V33" s="56"/>
      <c r="W33" s="56"/>
      <c r="X33" s="56"/>
      <c r="Y33" s="56"/>
      <c r="Z33" s="56"/>
      <c r="AA33" s="56"/>
      <c r="AB33" s="45"/>
      <c r="AC33" s="56"/>
      <c r="AD33" s="65"/>
      <c r="AE33" s="65"/>
      <c r="AF33" s="65"/>
      <c r="AG33" s="65"/>
      <c r="AH33" s="65"/>
      <c r="AI33" s="57" t="s">
        <v>9</v>
      </c>
      <c r="AJ33" s="57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46" t="s">
        <v>11</v>
      </c>
      <c r="BC33" s="62"/>
      <c r="BD33" s="48" t="s">
        <v>12</v>
      </c>
      <c r="BE33" s="1"/>
      <c r="BF33" s="2"/>
      <c r="BG33" s="3"/>
      <c r="BH33" s="3"/>
    </row>
    <row r="34" ht="12.75" customHeight="1">
      <c r="A34" s="1"/>
      <c r="B34" s="66"/>
      <c r="C34" s="45"/>
      <c r="D34" s="56"/>
      <c r="E34" s="65"/>
      <c r="F34" s="57" t="s">
        <v>9</v>
      </c>
      <c r="G34" s="65"/>
      <c r="H34" s="65"/>
      <c r="I34" s="65"/>
      <c r="J34" s="68"/>
      <c r="K34" s="51">
        <f t="shared" si="1"/>
        <v>29</v>
      </c>
      <c r="L34" s="42" t="s">
        <v>42</v>
      </c>
      <c r="M34" s="43"/>
      <c r="N34" s="44"/>
      <c r="O34" s="66"/>
      <c r="P34" s="67"/>
      <c r="Q34" s="67"/>
      <c r="R34" s="67"/>
      <c r="S34" s="67"/>
      <c r="T34" s="67"/>
      <c r="U34" s="56"/>
      <c r="V34" s="56"/>
      <c r="W34" s="56"/>
      <c r="X34" s="56"/>
      <c r="Y34" s="56"/>
      <c r="Z34" s="56"/>
      <c r="AA34" s="56"/>
      <c r="AB34" s="45"/>
      <c r="AC34" s="56"/>
      <c r="AD34" s="65"/>
      <c r="AE34" s="65"/>
      <c r="AF34" s="65"/>
      <c r="AG34" s="65"/>
      <c r="AH34" s="65"/>
      <c r="AI34" s="65"/>
      <c r="AJ34" s="57" t="s">
        <v>9</v>
      </c>
      <c r="AK34" s="57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46"/>
      <c r="BC34" s="47" t="s">
        <v>11</v>
      </c>
      <c r="BD34" s="63"/>
      <c r="BE34" s="1"/>
      <c r="BF34" s="2"/>
      <c r="BG34" s="3"/>
      <c r="BH34" s="3"/>
    </row>
    <row r="35" ht="12.75" customHeight="1">
      <c r="A35" s="1"/>
      <c r="B35" s="66"/>
      <c r="C35" s="56"/>
      <c r="D35" s="56"/>
      <c r="E35" s="57"/>
      <c r="F35" s="57" t="s">
        <v>9</v>
      </c>
      <c r="G35" s="57"/>
      <c r="H35" s="57"/>
      <c r="I35" s="57"/>
      <c r="J35" s="58"/>
      <c r="K35" s="51">
        <f t="shared" si="1"/>
        <v>30</v>
      </c>
      <c r="L35" s="42" t="s">
        <v>43</v>
      </c>
      <c r="M35" s="43"/>
      <c r="N35" s="44"/>
      <c r="O35" s="66"/>
      <c r="P35" s="67"/>
      <c r="Q35" s="67"/>
      <c r="R35" s="67"/>
      <c r="S35" s="67"/>
      <c r="T35" s="67"/>
      <c r="U35" s="56"/>
      <c r="V35" s="56"/>
      <c r="W35" s="56"/>
      <c r="X35" s="56"/>
      <c r="Y35" s="56"/>
      <c r="Z35" s="56"/>
      <c r="AA35" s="56"/>
      <c r="AB35" s="45"/>
      <c r="AC35" s="56"/>
      <c r="AD35" s="65"/>
      <c r="AE35" s="65"/>
      <c r="AF35" s="65"/>
      <c r="AG35" s="65"/>
      <c r="AH35" s="57" t="s">
        <v>9</v>
      </c>
      <c r="AI35" s="65"/>
      <c r="AJ35" s="65"/>
      <c r="AK35" s="65"/>
      <c r="AL35" s="57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46"/>
      <c r="BC35" s="62"/>
      <c r="BD35" s="48" t="s">
        <v>11</v>
      </c>
      <c r="BE35" s="1"/>
      <c r="BF35" s="2"/>
      <c r="BG35" s="3"/>
      <c r="BH35" s="3"/>
    </row>
    <row r="36" ht="12.75" customHeight="1">
      <c r="A36" s="1"/>
      <c r="B36" s="66"/>
      <c r="C36" s="56"/>
      <c r="D36" s="56"/>
      <c r="E36" s="57"/>
      <c r="F36" s="57"/>
      <c r="G36" s="57" t="s">
        <v>9</v>
      </c>
      <c r="H36" s="57"/>
      <c r="I36" s="57"/>
      <c r="J36" s="58"/>
      <c r="K36" s="51">
        <f t="shared" si="1"/>
        <v>31</v>
      </c>
      <c r="L36" s="42" t="s">
        <v>44</v>
      </c>
      <c r="M36" s="43"/>
      <c r="N36" s="44"/>
      <c r="O36" s="66"/>
      <c r="P36" s="67"/>
      <c r="Q36" s="67"/>
      <c r="R36" s="67"/>
      <c r="S36" s="67"/>
      <c r="T36" s="67"/>
      <c r="U36" s="56"/>
      <c r="V36" s="56"/>
      <c r="W36" s="56"/>
      <c r="X36" s="56"/>
      <c r="Y36" s="56"/>
      <c r="Z36" s="56"/>
      <c r="AA36" s="56"/>
      <c r="AB36" s="56"/>
      <c r="AC36" s="45"/>
      <c r="AD36" s="65"/>
      <c r="AE36" s="65"/>
      <c r="AF36" s="65"/>
      <c r="AG36" s="65"/>
      <c r="AH36" s="65"/>
      <c r="AI36" s="65"/>
      <c r="AJ36" s="65"/>
      <c r="AK36" s="65"/>
      <c r="AL36" s="57" t="s">
        <v>9</v>
      </c>
      <c r="AM36" s="57" t="s">
        <v>9</v>
      </c>
      <c r="AN36" s="57" t="s">
        <v>9</v>
      </c>
      <c r="AO36" s="57"/>
      <c r="AP36" s="57"/>
      <c r="AQ36" s="57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46" t="s">
        <v>11</v>
      </c>
      <c r="BC36" s="47" t="s">
        <v>12</v>
      </c>
      <c r="BD36" s="48" t="s">
        <v>19</v>
      </c>
      <c r="BE36" s="1"/>
      <c r="BF36" s="2"/>
      <c r="BG36" s="3"/>
      <c r="BH36" s="3"/>
    </row>
    <row r="37" ht="12.75" customHeight="1">
      <c r="A37" s="1"/>
      <c r="B37" s="66"/>
      <c r="C37" s="56"/>
      <c r="D37" s="56"/>
      <c r="E37" s="57"/>
      <c r="F37" s="57"/>
      <c r="G37" s="57" t="s">
        <v>9</v>
      </c>
      <c r="H37" s="57"/>
      <c r="I37" s="57"/>
      <c r="J37" s="58"/>
      <c r="K37" s="51">
        <f t="shared" si="1"/>
        <v>32</v>
      </c>
      <c r="L37" s="42" t="s">
        <v>45</v>
      </c>
      <c r="M37" s="43"/>
      <c r="N37" s="44"/>
      <c r="O37" s="66"/>
      <c r="P37" s="67"/>
      <c r="Q37" s="67"/>
      <c r="R37" s="67"/>
      <c r="S37" s="67"/>
      <c r="T37" s="67"/>
      <c r="U37" s="56"/>
      <c r="V37" s="56"/>
      <c r="W37" s="56"/>
      <c r="X37" s="56"/>
      <c r="Y37" s="56"/>
      <c r="Z37" s="56"/>
      <c r="AA37" s="56"/>
      <c r="AB37" s="56"/>
      <c r="AC37" s="4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57" t="s">
        <v>9</v>
      </c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46" t="s">
        <v>12</v>
      </c>
      <c r="BC37" s="47" t="s">
        <v>11</v>
      </c>
      <c r="BD37" s="48"/>
      <c r="BE37" s="1"/>
      <c r="BF37" s="2"/>
      <c r="BG37" s="3"/>
      <c r="BH37" s="3"/>
    </row>
    <row r="38" ht="12.75" customHeight="1">
      <c r="A38" s="1"/>
      <c r="B38" s="66"/>
      <c r="C38" s="45"/>
      <c r="D38" s="56"/>
      <c r="E38" s="65"/>
      <c r="F38" s="65"/>
      <c r="G38" s="57" t="s">
        <v>9</v>
      </c>
      <c r="H38" s="65"/>
      <c r="I38" s="65"/>
      <c r="J38" s="68"/>
      <c r="K38" s="51">
        <f t="shared" si="1"/>
        <v>33</v>
      </c>
      <c r="L38" s="42" t="s">
        <v>46</v>
      </c>
      <c r="M38" s="43"/>
      <c r="N38" s="44"/>
      <c r="O38" s="66"/>
      <c r="P38" s="67"/>
      <c r="Q38" s="67"/>
      <c r="R38" s="67"/>
      <c r="S38" s="67"/>
      <c r="T38" s="67"/>
      <c r="U38" s="56"/>
      <c r="V38" s="56"/>
      <c r="W38" s="56"/>
      <c r="X38" s="56"/>
      <c r="Y38" s="56"/>
      <c r="Z38" s="56"/>
      <c r="AA38" s="56"/>
      <c r="AB38" s="56"/>
      <c r="AC38" s="4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57" t="s">
        <v>9</v>
      </c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46" t="s">
        <v>11</v>
      </c>
      <c r="BC38" s="62"/>
      <c r="BD38" s="48" t="s">
        <v>12</v>
      </c>
      <c r="BE38" s="1"/>
      <c r="BF38" s="2"/>
      <c r="BG38" s="3"/>
      <c r="BH38" s="3"/>
    </row>
    <row r="39" ht="12.75" customHeight="1">
      <c r="A39" s="1"/>
      <c r="B39" s="66"/>
      <c r="C39" s="45" t="s">
        <v>9</v>
      </c>
      <c r="D39" s="45"/>
      <c r="E39" s="65"/>
      <c r="F39" s="65"/>
      <c r="G39" s="65"/>
      <c r="H39" s="65"/>
      <c r="I39" s="65"/>
      <c r="J39" s="68"/>
      <c r="K39" s="72">
        <f t="shared" si="1"/>
        <v>34</v>
      </c>
      <c r="L39" s="42" t="s">
        <v>47</v>
      </c>
      <c r="M39" s="43"/>
      <c r="N39" s="44"/>
      <c r="O39" s="66"/>
      <c r="P39" s="67"/>
      <c r="Q39" s="67"/>
      <c r="R39" s="67"/>
      <c r="S39" s="67"/>
      <c r="T39" s="67"/>
      <c r="U39" s="56"/>
      <c r="V39" s="56"/>
      <c r="W39" s="56"/>
      <c r="X39" s="56"/>
      <c r="Y39" s="56"/>
      <c r="Z39" s="56"/>
      <c r="AA39" s="56"/>
      <c r="AB39" s="56"/>
      <c r="AC39" s="45"/>
      <c r="AD39" s="65"/>
      <c r="AE39" s="65"/>
      <c r="AF39" s="65"/>
      <c r="AG39" s="65"/>
      <c r="AH39" s="65"/>
      <c r="AI39" s="65"/>
      <c r="AJ39" s="65"/>
      <c r="AK39" s="65"/>
      <c r="AL39" s="65"/>
      <c r="AM39" s="57"/>
      <c r="AN39" s="57"/>
      <c r="AO39" s="65"/>
      <c r="AP39" s="65"/>
      <c r="AQ39" s="65"/>
      <c r="AR39" s="65"/>
      <c r="AS39" s="57" t="s">
        <v>9</v>
      </c>
      <c r="AT39" s="65"/>
      <c r="AU39" s="65"/>
      <c r="AV39" s="65"/>
      <c r="AW39" s="65"/>
      <c r="AX39" s="65"/>
      <c r="AY39" s="65"/>
      <c r="AZ39" s="65"/>
      <c r="BA39" s="65"/>
      <c r="BB39" s="46"/>
      <c r="BC39" s="47" t="s">
        <v>11</v>
      </c>
      <c r="BD39" s="63"/>
      <c r="BE39" s="1"/>
      <c r="BF39" s="2"/>
      <c r="BG39" s="3"/>
      <c r="BH39" s="3"/>
    </row>
    <row r="40" ht="12.75" customHeight="1">
      <c r="A40" s="1"/>
      <c r="B40" s="66"/>
      <c r="C40" s="45" t="s">
        <v>9</v>
      </c>
      <c r="D40" s="45"/>
      <c r="E40" s="65"/>
      <c r="F40" s="65"/>
      <c r="G40" s="65"/>
      <c r="H40" s="65"/>
      <c r="I40" s="65"/>
      <c r="J40" s="68"/>
      <c r="K40" s="72">
        <f t="shared" si="1"/>
        <v>35</v>
      </c>
      <c r="L40" s="42" t="s">
        <v>48</v>
      </c>
      <c r="M40" s="43"/>
      <c r="N40" s="44"/>
      <c r="O40" s="66"/>
      <c r="P40" s="67"/>
      <c r="Q40" s="67"/>
      <c r="R40" s="67"/>
      <c r="S40" s="67"/>
      <c r="T40" s="67"/>
      <c r="U40" s="56"/>
      <c r="V40" s="56"/>
      <c r="W40" s="56"/>
      <c r="X40" s="56"/>
      <c r="Y40" s="56"/>
      <c r="Z40" s="56"/>
      <c r="AA40" s="56"/>
      <c r="AB40" s="56"/>
      <c r="AC40" s="56"/>
      <c r="AD40" s="57"/>
      <c r="AE40" s="57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57" t="s">
        <v>9</v>
      </c>
      <c r="AS40" s="65"/>
      <c r="AT40" s="65"/>
      <c r="AU40" s="65"/>
      <c r="AV40" s="65"/>
      <c r="AW40" s="65"/>
      <c r="AX40" s="65"/>
      <c r="AY40" s="65"/>
      <c r="AZ40" s="65"/>
      <c r="BA40" s="65"/>
      <c r="BB40" s="46" t="s">
        <v>12</v>
      </c>
      <c r="BC40" s="62"/>
      <c r="BD40" s="48" t="s">
        <v>11</v>
      </c>
      <c r="BE40" s="1"/>
      <c r="BF40" s="2"/>
      <c r="BG40" s="3"/>
      <c r="BH40" s="3"/>
    </row>
    <row r="41" ht="12.75" customHeight="1">
      <c r="A41" s="1"/>
      <c r="B41" s="55" t="s">
        <v>9</v>
      </c>
      <c r="C41" s="56"/>
      <c r="D41" s="45"/>
      <c r="E41" s="65"/>
      <c r="F41" s="65"/>
      <c r="G41" s="65"/>
      <c r="H41" s="65"/>
      <c r="I41" s="65"/>
      <c r="J41" s="68"/>
      <c r="K41" s="72">
        <f t="shared" si="1"/>
        <v>36</v>
      </c>
      <c r="L41" s="42" t="s">
        <v>49</v>
      </c>
      <c r="M41" s="43"/>
      <c r="N41" s="44"/>
      <c r="O41" s="66"/>
      <c r="P41" s="67"/>
      <c r="Q41" s="67"/>
      <c r="R41" s="67"/>
      <c r="S41" s="67"/>
      <c r="T41" s="67"/>
      <c r="U41" s="56"/>
      <c r="V41" s="56"/>
      <c r="W41" s="56"/>
      <c r="X41" s="56"/>
      <c r="Y41" s="56"/>
      <c r="Z41" s="56"/>
      <c r="AA41" s="56"/>
      <c r="AB41" s="56"/>
      <c r="AC41" s="56"/>
      <c r="AD41" s="45"/>
      <c r="AE41" s="4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57" t="s">
        <v>9</v>
      </c>
      <c r="AS41" s="57"/>
      <c r="AT41" s="65"/>
      <c r="AU41" s="65"/>
      <c r="AV41" s="65"/>
      <c r="AW41" s="65"/>
      <c r="AX41" s="65"/>
      <c r="AY41" s="65"/>
      <c r="AZ41" s="65"/>
      <c r="BA41" s="65"/>
      <c r="BB41" s="46" t="s">
        <v>12</v>
      </c>
      <c r="BC41" s="47" t="s">
        <v>11</v>
      </c>
      <c r="BD41" s="63"/>
      <c r="BE41" s="1"/>
      <c r="BF41" s="2"/>
      <c r="BG41" s="3"/>
      <c r="BH41" s="3"/>
    </row>
    <row r="42" ht="12.75" customHeight="1">
      <c r="A42" s="1"/>
      <c r="B42" s="55" t="s">
        <v>9</v>
      </c>
      <c r="C42" s="56"/>
      <c r="D42" s="45"/>
      <c r="E42" s="65"/>
      <c r="F42" s="65"/>
      <c r="G42" s="65"/>
      <c r="H42" s="65"/>
      <c r="I42" s="65"/>
      <c r="J42" s="68"/>
      <c r="K42" s="72">
        <f t="shared" si="1"/>
        <v>37</v>
      </c>
      <c r="L42" s="42" t="s">
        <v>50</v>
      </c>
      <c r="M42" s="43"/>
      <c r="N42" s="44"/>
      <c r="O42" s="66"/>
      <c r="P42" s="67"/>
      <c r="Q42" s="67"/>
      <c r="R42" s="67"/>
      <c r="S42" s="67"/>
      <c r="T42" s="67"/>
      <c r="U42" s="56"/>
      <c r="V42" s="56"/>
      <c r="W42" s="56"/>
      <c r="X42" s="56"/>
      <c r="Y42" s="56"/>
      <c r="Z42" s="56"/>
      <c r="AA42" s="56"/>
      <c r="AB42" s="56"/>
      <c r="AC42" s="56"/>
      <c r="AD42" s="45"/>
      <c r="AE42" s="4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57" t="s">
        <v>9</v>
      </c>
      <c r="AU42" s="65"/>
      <c r="AV42" s="65"/>
      <c r="AW42" s="65"/>
      <c r="AX42" s="65"/>
      <c r="AY42" s="65"/>
      <c r="AZ42" s="65"/>
      <c r="BA42" s="65"/>
      <c r="BB42" s="46" t="s">
        <v>12</v>
      </c>
      <c r="BC42" s="47" t="s">
        <v>11</v>
      </c>
      <c r="BD42" s="63"/>
      <c r="BE42" s="1"/>
      <c r="BF42" s="2"/>
      <c r="BG42" s="3"/>
      <c r="BH42" s="3"/>
    </row>
    <row r="43" ht="12.75" customHeight="1">
      <c r="A43" s="1"/>
      <c r="B43" s="66"/>
      <c r="C43" s="56"/>
      <c r="D43" s="45" t="s">
        <v>9</v>
      </c>
      <c r="E43" s="65"/>
      <c r="F43" s="65"/>
      <c r="G43" s="65"/>
      <c r="H43" s="65"/>
      <c r="I43" s="65"/>
      <c r="J43" s="68"/>
      <c r="K43" s="72">
        <f t="shared" si="1"/>
        <v>38</v>
      </c>
      <c r="L43" s="42" t="s">
        <v>51</v>
      </c>
      <c r="M43" s="43"/>
      <c r="N43" s="44"/>
      <c r="O43" s="66"/>
      <c r="P43" s="67"/>
      <c r="Q43" s="67"/>
      <c r="R43" s="67"/>
      <c r="S43" s="67"/>
      <c r="T43" s="67"/>
      <c r="U43" s="56"/>
      <c r="V43" s="56"/>
      <c r="W43" s="56"/>
      <c r="X43" s="56"/>
      <c r="Y43" s="56"/>
      <c r="Z43" s="56"/>
      <c r="AA43" s="56"/>
      <c r="AB43" s="56"/>
      <c r="AC43" s="56"/>
      <c r="AD43" s="45"/>
      <c r="AE43" s="4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57" t="s">
        <v>9</v>
      </c>
      <c r="AS43" s="65"/>
      <c r="AT43" s="65"/>
      <c r="AU43" s="57"/>
      <c r="AV43" s="65"/>
      <c r="AW43" s="65"/>
      <c r="AX43" s="65"/>
      <c r="AY43" s="65"/>
      <c r="AZ43" s="65"/>
      <c r="BA43" s="65"/>
      <c r="BB43" s="46"/>
      <c r="BC43" s="62"/>
      <c r="BD43" s="48" t="s">
        <v>11</v>
      </c>
      <c r="BE43" s="1"/>
      <c r="BF43" s="2"/>
      <c r="BG43" s="3"/>
      <c r="BH43" s="3"/>
    </row>
    <row r="44" ht="12.75" customHeight="1">
      <c r="A44" s="1"/>
      <c r="B44" s="66"/>
      <c r="C44" s="56"/>
      <c r="D44" s="45" t="s">
        <v>9</v>
      </c>
      <c r="E44" s="65"/>
      <c r="F44" s="65"/>
      <c r="G44" s="65"/>
      <c r="H44" s="65"/>
      <c r="I44" s="65"/>
      <c r="J44" s="68"/>
      <c r="K44" s="72">
        <f t="shared" si="1"/>
        <v>39</v>
      </c>
      <c r="L44" s="42" t="s">
        <v>52</v>
      </c>
      <c r="M44" s="43"/>
      <c r="N44" s="44"/>
      <c r="O44" s="66"/>
      <c r="P44" s="67"/>
      <c r="Q44" s="67"/>
      <c r="R44" s="67"/>
      <c r="S44" s="67"/>
      <c r="T44" s="67"/>
      <c r="U44" s="56"/>
      <c r="V44" s="56"/>
      <c r="W44" s="56"/>
      <c r="X44" s="56"/>
      <c r="Y44" s="56"/>
      <c r="Z44" s="56"/>
      <c r="AA44" s="56"/>
      <c r="AB44" s="56"/>
      <c r="AC44" s="56"/>
      <c r="AD44" s="45"/>
      <c r="AE44" s="4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57" t="s">
        <v>9</v>
      </c>
      <c r="AS44" s="65"/>
      <c r="AT44" s="65"/>
      <c r="AU44" s="65"/>
      <c r="AV44" s="57"/>
      <c r="AW44" s="65"/>
      <c r="AX44" s="65"/>
      <c r="AY44" s="65"/>
      <c r="AZ44" s="65"/>
      <c r="BA44" s="65"/>
      <c r="BB44" s="46" t="s">
        <v>12</v>
      </c>
      <c r="BC44" s="62"/>
      <c r="BD44" s="48" t="s">
        <v>11</v>
      </c>
      <c r="BE44" s="1"/>
      <c r="BF44" s="2"/>
      <c r="BG44" s="3"/>
      <c r="BH44" s="3"/>
    </row>
    <row r="45" ht="12.75" customHeight="1">
      <c r="A45" s="1"/>
      <c r="B45" s="73"/>
      <c r="C45" s="74"/>
      <c r="D45" s="75"/>
      <c r="E45" s="76" t="s">
        <v>9</v>
      </c>
      <c r="F45" s="77"/>
      <c r="G45" s="77"/>
      <c r="H45" s="77"/>
      <c r="I45" s="77"/>
      <c r="J45" s="78"/>
      <c r="K45" s="72">
        <f t="shared" si="1"/>
        <v>40</v>
      </c>
      <c r="L45" s="42" t="s">
        <v>53</v>
      </c>
      <c r="M45" s="43"/>
      <c r="N45" s="44"/>
      <c r="O45" s="73"/>
      <c r="P45" s="79"/>
      <c r="Q45" s="79"/>
      <c r="R45" s="79"/>
      <c r="S45" s="79"/>
      <c r="T45" s="79"/>
      <c r="U45" s="75"/>
      <c r="V45" s="75"/>
      <c r="W45" s="75"/>
      <c r="X45" s="75"/>
      <c r="Y45" s="75"/>
      <c r="Z45" s="75"/>
      <c r="AA45" s="75"/>
      <c r="AB45" s="75"/>
      <c r="AC45" s="75"/>
      <c r="AD45" s="77"/>
      <c r="AE45" s="65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 t="s">
        <v>9</v>
      </c>
      <c r="AV45" s="57"/>
      <c r="AW45" s="57"/>
      <c r="AX45" s="57"/>
      <c r="AY45" s="57"/>
      <c r="AZ45" s="57"/>
      <c r="BA45" s="57"/>
      <c r="BB45" s="46"/>
      <c r="BC45" s="47" t="s">
        <v>11</v>
      </c>
      <c r="BD45" s="63"/>
      <c r="BE45" s="1"/>
      <c r="BF45" s="2"/>
      <c r="BG45" s="3"/>
      <c r="BH45" s="3"/>
    </row>
    <row r="46" ht="12.75" customHeight="1">
      <c r="A46" s="1"/>
      <c r="B46" s="73"/>
      <c r="C46" s="74"/>
      <c r="D46" s="75"/>
      <c r="E46" s="77"/>
      <c r="F46" s="77"/>
      <c r="G46" s="77"/>
      <c r="H46" s="76" t="s">
        <v>9</v>
      </c>
      <c r="I46" s="77"/>
      <c r="J46" s="78"/>
      <c r="K46" s="72">
        <f t="shared" si="1"/>
        <v>41</v>
      </c>
      <c r="L46" s="42" t="s">
        <v>54</v>
      </c>
      <c r="M46" s="43"/>
      <c r="N46" s="44"/>
      <c r="O46" s="73"/>
      <c r="P46" s="79"/>
      <c r="Q46" s="79"/>
      <c r="R46" s="79"/>
      <c r="S46" s="79"/>
      <c r="T46" s="79"/>
      <c r="U46" s="75"/>
      <c r="V46" s="75"/>
      <c r="W46" s="75"/>
      <c r="X46" s="75"/>
      <c r="Y46" s="75"/>
      <c r="Z46" s="75"/>
      <c r="AA46" s="75"/>
      <c r="AB46" s="75"/>
      <c r="AC46" s="75"/>
      <c r="AD46" s="77"/>
      <c r="AE46" s="65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 t="s">
        <v>9</v>
      </c>
      <c r="AW46" s="57"/>
      <c r="AX46" s="57"/>
      <c r="AY46" s="57"/>
      <c r="AZ46" s="57"/>
      <c r="BA46" s="57"/>
      <c r="BB46" s="46" t="s">
        <v>11</v>
      </c>
      <c r="BC46" s="47" t="s">
        <v>12</v>
      </c>
      <c r="BD46" s="63"/>
      <c r="BE46" s="1"/>
      <c r="BF46" s="2"/>
      <c r="BG46" s="3"/>
      <c r="BH46" s="3"/>
    </row>
    <row r="47" ht="12.75" customHeight="1">
      <c r="A47" s="1"/>
      <c r="B47" s="73"/>
      <c r="C47" s="74"/>
      <c r="D47" s="75"/>
      <c r="E47" s="77"/>
      <c r="F47" s="77"/>
      <c r="G47" s="77"/>
      <c r="H47" s="76" t="s">
        <v>9</v>
      </c>
      <c r="I47" s="77"/>
      <c r="J47" s="78"/>
      <c r="K47" s="72">
        <f t="shared" si="1"/>
        <v>42</v>
      </c>
      <c r="L47" s="42" t="s">
        <v>55</v>
      </c>
      <c r="M47" s="43"/>
      <c r="N47" s="44"/>
      <c r="O47" s="73"/>
      <c r="P47" s="79"/>
      <c r="Q47" s="79"/>
      <c r="R47" s="79"/>
      <c r="S47" s="79"/>
      <c r="T47" s="79"/>
      <c r="U47" s="75"/>
      <c r="V47" s="75"/>
      <c r="W47" s="75"/>
      <c r="X47" s="75"/>
      <c r="Y47" s="75"/>
      <c r="Z47" s="75"/>
      <c r="AA47" s="75"/>
      <c r="AB47" s="75"/>
      <c r="AC47" s="75"/>
      <c r="AD47" s="77"/>
      <c r="AE47" s="65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 t="s">
        <v>9</v>
      </c>
      <c r="AY47" s="57"/>
      <c r="AZ47" s="57"/>
      <c r="BA47" s="57"/>
      <c r="BB47" s="46" t="s">
        <v>11</v>
      </c>
      <c r="BC47" s="62"/>
      <c r="BD47" s="48" t="s">
        <v>12</v>
      </c>
      <c r="BE47" s="1"/>
      <c r="BF47" s="2"/>
      <c r="BG47" s="3"/>
      <c r="BH47" s="3"/>
    </row>
    <row r="48" ht="12.75" customHeight="1">
      <c r="A48" s="1"/>
      <c r="B48" s="73"/>
      <c r="C48" s="74"/>
      <c r="D48" s="75"/>
      <c r="E48" s="77"/>
      <c r="F48" s="77"/>
      <c r="G48" s="77"/>
      <c r="H48" s="77"/>
      <c r="I48" s="76" t="s">
        <v>9</v>
      </c>
      <c r="J48" s="78"/>
      <c r="K48" s="72">
        <f t="shared" si="1"/>
        <v>43</v>
      </c>
      <c r="L48" s="42" t="s">
        <v>56</v>
      </c>
      <c r="M48" s="43"/>
      <c r="N48" s="44"/>
      <c r="O48" s="73"/>
      <c r="P48" s="79"/>
      <c r="Q48" s="79"/>
      <c r="R48" s="79"/>
      <c r="S48" s="79"/>
      <c r="T48" s="79"/>
      <c r="U48" s="75"/>
      <c r="V48" s="75"/>
      <c r="W48" s="75"/>
      <c r="X48" s="75"/>
      <c r="Y48" s="75"/>
      <c r="Z48" s="75"/>
      <c r="AA48" s="75"/>
      <c r="AB48" s="75"/>
      <c r="AC48" s="75"/>
      <c r="AD48" s="77"/>
      <c r="AE48" s="65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 t="s">
        <v>9</v>
      </c>
      <c r="AZ48" s="57"/>
      <c r="BA48" s="57"/>
      <c r="BB48" s="46" t="s">
        <v>11</v>
      </c>
      <c r="BC48" s="47" t="s">
        <v>12</v>
      </c>
      <c r="BD48" s="48" t="s">
        <v>19</v>
      </c>
      <c r="BE48" s="1"/>
      <c r="BF48" s="2"/>
      <c r="BG48" s="3"/>
      <c r="BH48" s="3"/>
    </row>
    <row r="49" ht="12.75" customHeight="1">
      <c r="A49" s="1"/>
      <c r="B49" s="73"/>
      <c r="C49" s="74"/>
      <c r="D49" s="75"/>
      <c r="E49" s="77"/>
      <c r="F49" s="77"/>
      <c r="G49" s="77"/>
      <c r="H49" s="76"/>
      <c r="I49" s="76" t="s">
        <v>9</v>
      </c>
      <c r="J49" s="78"/>
      <c r="K49" s="72">
        <f t="shared" si="1"/>
        <v>44</v>
      </c>
      <c r="L49" s="80" t="s">
        <v>57</v>
      </c>
      <c r="M49" s="81"/>
      <c r="N49" s="82"/>
      <c r="O49" s="73"/>
      <c r="P49" s="79"/>
      <c r="Q49" s="79"/>
      <c r="R49" s="79"/>
      <c r="S49" s="79"/>
      <c r="T49" s="79"/>
      <c r="U49" s="75"/>
      <c r="V49" s="75"/>
      <c r="W49" s="75"/>
      <c r="X49" s="75"/>
      <c r="Y49" s="75"/>
      <c r="Z49" s="75"/>
      <c r="AA49" s="75"/>
      <c r="AB49" s="75"/>
      <c r="AC49" s="75"/>
      <c r="AD49" s="77"/>
      <c r="AE49" s="65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 t="s">
        <v>9</v>
      </c>
      <c r="BA49" s="57"/>
      <c r="BB49" s="46" t="s">
        <v>12</v>
      </c>
      <c r="BC49" s="62"/>
      <c r="BD49" s="48" t="s">
        <v>11</v>
      </c>
      <c r="BE49" s="1"/>
      <c r="BF49" s="2"/>
      <c r="BG49" s="3"/>
      <c r="BH49" s="3"/>
    </row>
    <row r="50" ht="12.75" customHeight="1">
      <c r="A50" s="1"/>
      <c r="B50" s="73"/>
      <c r="C50" s="74"/>
      <c r="D50" s="75"/>
      <c r="E50" s="77"/>
      <c r="F50" s="77"/>
      <c r="G50" s="77"/>
      <c r="H50" s="76"/>
      <c r="I50" s="76" t="s">
        <v>9</v>
      </c>
      <c r="J50" s="78"/>
      <c r="K50" s="72">
        <f t="shared" si="1"/>
        <v>45</v>
      </c>
      <c r="L50" s="83" t="s">
        <v>58</v>
      </c>
      <c r="M50" s="43"/>
      <c r="N50" s="44"/>
      <c r="O50" s="73"/>
      <c r="P50" s="79"/>
      <c r="Q50" s="79"/>
      <c r="R50" s="79"/>
      <c r="S50" s="79"/>
      <c r="T50" s="79"/>
      <c r="U50" s="75"/>
      <c r="V50" s="75"/>
      <c r="W50" s="75"/>
      <c r="X50" s="75"/>
      <c r="Y50" s="75"/>
      <c r="Z50" s="75"/>
      <c r="AA50" s="75"/>
      <c r="AB50" s="75"/>
      <c r="AC50" s="75"/>
      <c r="AD50" s="77"/>
      <c r="AE50" s="65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 t="s">
        <v>9</v>
      </c>
      <c r="AY50" s="57"/>
      <c r="AZ50" s="57"/>
      <c r="BA50" s="57"/>
      <c r="BB50" s="46"/>
      <c r="BC50" s="62"/>
      <c r="BD50" s="48" t="s">
        <v>11</v>
      </c>
      <c r="BE50" s="1"/>
      <c r="BF50" s="2"/>
      <c r="BG50" s="3"/>
      <c r="BH50" s="3"/>
    </row>
    <row r="51" ht="12.75" customHeight="1">
      <c r="A51" s="1"/>
      <c r="B51" s="73"/>
      <c r="C51" s="74"/>
      <c r="D51" s="75"/>
      <c r="E51" s="77"/>
      <c r="F51" s="77"/>
      <c r="G51" s="77"/>
      <c r="H51" s="77"/>
      <c r="I51" s="76" t="s">
        <v>9</v>
      </c>
      <c r="J51" s="78"/>
      <c r="K51" s="72">
        <f t="shared" si="1"/>
        <v>46</v>
      </c>
      <c r="L51" s="42" t="s">
        <v>59</v>
      </c>
      <c r="M51" s="43"/>
      <c r="N51" s="44"/>
      <c r="O51" s="73"/>
      <c r="P51" s="79"/>
      <c r="Q51" s="79"/>
      <c r="R51" s="79"/>
      <c r="S51" s="79"/>
      <c r="T51" s="79"/>
      <c r="U51" s="75"/>
      <c r="V51" s="75"/>
      <c r="W51" s="75"/>
      <c r="X51" s="75"/>
      <c r="Y51" s="75"/>
      <c r="Z51" s="75"/>
      <c r="AA51" s="75"/>
      <c r="AB51" s="75"/>
      <c r="AC51" s="75"/>
      <c r="AD51" s="77"/>
      <c r="AE51" s="65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 t="s">
        <v>9</v>
      </c>
      <c r="AY51" s="57"/>
      <c r="AZ51" s="57"/>
      <c r="BA51" s="57"/>
      <c r="BB51" s="46"/>
      <c r="BC51" s="47" t="s">
        <v>11</v>
      </c>
      <c r="BD51" s="63"/>
      <c r="BE51" s="1"/>
      <c r="BF51" s="2"/>
      <c r="BG51" s="3"/>
      <c r="BH51" s="3"/>
    </row>
    <row r="52" ht="12.75" customHeight="1">
      <c r="A52" s="1"/>
      <c r="B52" s="73"/>
      <c r="C52" s="74"/>
      <c r="D52" s="75"/>
      <c r="E52" s="77"/>
      <c r="F52" s="77"/>
      <c r="G52" s="77"/>
      <c r="H52" s="77"/>
      <c r="I52" s="77"/>
      <c r="J52" s="84" t="s">
        <v>9</v>
      </c>
      <c r="K52" s="85">
        <f t="shared" si="1"/>
        <v>47</v>
      </c>
      <c r="L52" s="86" t="s">
        <v>60</v>
      </c>
      <c r="N52" s="21"/>
      <c r="O52" s="73"/>
      <c r="P52" s="79"/>
      <c r="Q52" s="79"/>
      <c r="R52" s="79"/>
      <c r="S52" s="79"/>
      <c r="T52" s="79"/>
      <c r="U52" s="75"/>
      <c r="V52" s="75"/>
      <c r="W52" s="75"/>
      <c r="X52" s="75"/>
      <c r="Y52" s="75"/>
      <c r="Z52" s="75"/>
      <c r="AA52" s="75"/>
      <c r="AB52" s="75"/>
      <c r="AC52" s="75"/>
      <c r="AD52" s="77"/>
      <c r="AE52" s="65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 t="s">
        <v>9</v>
      </c>
      <c r="BB52" s="46" t="s">
        <v>11</v>
      </c>
      <c r="BC52" s="47" t="s">
        <v>12</v>
      </c>
      <c r="BD52" s="48" t="s">
        <v>19</v>
      </c>
      <c r="BE52" s="1"/>
      <c r="BF52" s="2"/>
      <c r="BG52" s="3"/>
      <c r="BH52" s="3"/>
    </row>
    <row r="53" ht="14.25" customHeight="1">
      <c r="A53" s="1"/>
      <c r="B53" s="87"/>
      <c r="C53" s="88"/>
      <c r="D53" s="89"/>
      <c r="E53" s="90"/>
      <c r="F53" s="90"/>
      <c r="G53" s="90"/>
      <c r="H53" s="90"/>
      <c r="I53" s="90"/>
      <c r="J53" s="90"/>
      <c r="K53" s="91"/>
      <c r="L53" s="92"/>
      <c r="M53" s="92"/>
      <c r="N53" s="93" t="s">
        <v>61</v>
      </c>
      <c r="O53" s="94">
        <v>2.0</v>
      </c>
      <c r="P53" s="94">
        <v>2.0</v>
      </c>
      <c r="Q53" s="94">
        <v>1.0</v>
      </c>
      <c r="R53" s="94">
        <v>1.0</v>
      </c>
      <c r="S53" s="94">
        <v>3.0</v>
      </c>
      <c r="T53" s="94">
        <v>2.0</v>
      </c>
      <c r="U53" s="94">
        <v>1.0</v>
      </c>
      <c r="V53" s="94">
        <v>2.0</v>
      </c>
      <c r="W53" s="94">
        <v>3.0</v>
      </c>
      <c r="X53" s="94">
        <v>3.0</v>
      </c>
      <c r="Y53" s="94">
        <v>2.0</v>
      </c>
      <c r="Z53" s="94">
        <v>1.0</v>
      </c>
      <c r="AA53" s="94">
        <v>2.0</v>
      </c>
      <c r="AB53" s="94">
        <v>2.0</v>
      </c>
      <c r="AC53" s="94">
        <v>3.0</v>
      </c>
      <c r="AD53" s="94">
        <v>3.0</v>
      </c>
      <c r="AE53" s="94">
        <v>1.0</v>
      </c>
      <c r="AF53" s="94">
        <v>1.0</v>
      </c>
      <c r="AG53" s="94">
        <v>3.0</v>
      </c>
      <c r="AH53" s="94">
        <v>3.0</v>
      </c>
      <c r="AI53" s="94">
        <v>2.0</v>
      </c>
      <c r="AJ53" s="94">
        <v>1.0</v>
      </c>
      <c r="AK53" s="94">
        <v>1.0</v>
      </c>
      <c r="AL53" s="94">
        <v>3.0</v>
      </c>
      <c r="AM53" s="94">
        <v>3.0</v>
      </c>
      <c r="AN53" s="94">
        <v>3.0</v>
      </c>
      <c r="AO53" s="94">
        <v>2.0</v>
      </c>
      <c r="AP53" s="94">
        <v>2.0</v>
      </c>
      <c r="AQ53" s="94">
        <v>3.0</v>
      </c>
      <c r="AR53" s="94">
        <v>2.0</v>
      </c>
      <c r="AS53" s="94">
        <v>1.0</v>
      </c>
      <c r="AT53" s="94">
        <v>2.0</v>
      </c>
      <c r="AU53" s="94">
        <v>1.0</v>
      </c>
      <c r="AV53" s="94">
        <v>2.0</v>
      </c>
      <c r="AW53" s="94">
        <v>3.0</v>
      </c>
      <c r="AX53" s="94">
        <v>3.0</v>
      </c>
      <c r="AY53" s="94">
        <v>3.0</v>
      </c>
      <c r="AZ53" s="94">
        <v>2.0</v>
      </c>
      <c r="BA53" s="94">
        <v>3.0</v>
      </c>
      <c r="BB53" s="95"/>
      <c r="BC53" s="96"/>
      <c r="BD53" s="97"/>
      <c r="BE53" s="1"/>
      <c r="BF53" s="2"/>
      <c r="BG53" s="3"/>
      <c r="BH53" s="3"/>
    </row>
    <row r="54" ht="12.75" customHeight="1">
      <c r="A54" s="1"/>
      <c r="B54" s="98" t="s">
        <v>62</v>
      </c>
      <c r="C54" s="99" t="s">
        <v>63</v>
      </c>
      <c r="D54" s="99" t="s">
        <v>64</v>
      </c>
      <c r="E54" s="100" t="s">
        <v>65</v>
      </c>
      <c r="F54" s="100" t="s">
        <v>66</v>
      </c>
      <c r="G54" s="100" t="s">
        <v>67</v>
      </c>
      <c r="H54" s="100" t="s">
        <v>68</v>
      </c>
      <c r="I54" s="100" t="s">
        <v>69</v>
      </c>
      <c r="J54" s="101" t="s">
        <v>70</v>
      </c>
      <c r="K54" s="102"/>
      <c r="L54" s="103"/>
      <c r="M54" s="104"/>
      <c r="N54" s="104"/>
      <c r="O54" s="105" t="s">
        <v>71</v>
      </c>
      <c r="P54" s="106" t="s">
        <v>72</v>
      </c>
      <c r="Q54" s="106" t="s">
        <v>73</v>
      </c>
      <c r="R54" s="106" t="s">
        <v>74</v>
      </c>
      <c r="S54" s="106" t="s">
        <v>75</v>
      </c>
      <c r="T54" s="106" t="s">
        <v>76</v>
      </c>
      <c r="U54" s="107" t="s">
        <v>77</v>
      </c>
      <c r="V54" s="107" t="s">
        <v>78</v>
      </c>
      <c r="W54" s="107" t="s">
        <v>79</v>
      </c>
      <c r="X54" s="107" t="s">
        <v>80</v>
      </c>
      <c r="Y54" s="107" t="s">
        <v>81</v>
      </c>
      <c r="Z54" s="107" t="s">
        <v>82</v>
      </c>
      <c r="AA54" s="107" t="s">
        <v>83</v>
      </c>
      <c r="AB54" s="107" t="s">
        <v>84</v>
      </c>
      <c r="AC54" s="107" t="s">
        <v>85</v>
      </c>
      <c r="AD54" s="107" t="s">
        <v>86</v>
      </c>
      <c r="AE54" s="107" t="s">
        <v>87</v>
      </c>
      <c r="AF54" s="108" t="s">
        <v>88</v>
      </c>
      <c r="AG54" s="108" t="s">
        <v>89</v>
      </c>
      <c r="AH54" s="108" t="s">
        <v>90</v>
      </c>
      <c r="AI54" s="108" t="s">
        <v>91</v>
      </c>
      <c r="AJ54" s="108" t="s">
        <v>92</v>
      </c>
      <c r="AK54" s="108" t="s">
        <v>93</v>
      </c>
      <c r="AL54" s="108" t="s">
        <v>94</v>
      </c>
      <c r="AM54" s="108" t="s">
        <v>95</v>
      </c>
      <c r="AN54" s="108" t="s">
        <v>96</v>
      </c>
      <c r="AO54" s="108" t="s">
        <v>97</v>
      </c>
      <c r="AP54" s="108" t="s">
        <v>98</v>
      </c>
      <c r="AQ54" s="108" t="s">
        <v>99</v>
      </c>
      <c r="AR54" s="108" t="s">
        <v>100</v>
      </c>
      <c r="AS54" s="108" t="s">
        <v>101</v>
      </c>
      <c r="AT54" s="108" t="s">
        <v>102</v>
      </c>
      <c r="AU54" s="108" t="s">
        <v>103</v>
      </c>
      <c r="AV54" s="108" t="s">
        <v>104</v>
      </c>
      <c r="AW54" s="108" t="s">
        <v>105</v>
      </c>
      <c r="AX54" s="108" t="s">
        <v>106</v>
      </c>
      <c r="AY54" s="108" t="s">
        <v>107</v>
      </c>
      <c r="AZ54" s="108" t="s">
        <v>108</v>
      </c>
      <c r="BA54" s="109" t="s">
        <v>109</v>
      </c>
      <c r="BB54" s="110" t="s">
        <v>1</v>
      </c>
      <c r="BC54" s="111" t="s">
        <v>110</v>
      </c>
      <c r="BD54" s="112" t="s">
        <v>111</v>
      </c>
      <c r="BE54" s="1"/>
      <c r="BF54" s="2"/>
      <c r="BG54" s="3"/>
      <c r="BH54" s="3"/>
    </row>
    <row r="55" ht="12.75" customHeight="1">
      <c r="A55" s="1"/>
      <c r="B55" s="113"/>
      <c r="C55" s="114"/>
      <c r="D55" s="114"/>
      <c r="E55" s="115"/>
      <c r="F55" s="115"/>
      <c r="G55" s="115"/>
      <c r="H55" s="115"/>
      <c r="I55" s="115"/>
      <c r="J55" s="116"/>
      <c r="K55" s="102"/>
      <c r="L55" s="117"/>
      <c r="M55" s="104"/>
      <c r="N55" s="104"/>
      <c r="O55" s="118"/>
      <c r="P55" s="119"/>
      <c r="Q55" s="119"/>
      <c r="R55" s="119"/>
      <c r="S55" s="119"/>
      <c r="T55" s="119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2"/>
      <c r="BB55" s="113"/>
      <c r="BC55" s="123"/>
      <c r="BD55" s="124"/>
      <c r="BE55" s="1"/>
      <c r="BF55" s="2"/>
      <c r="BG55" s="3"/>
      <c r="BH55" s="3"/>
    </row>
    <row r="56" ht="12.75" customHeight="1">
      <c r="A56" s="1"/>
      <c r="B56" s="113"/>
      <c r="C56" s="114"/>
      <c r="D56" s="114"/>
      <c r="E56" s="115"/>
      <c r="F56" s="115"/>
      <c r="G56" s="115"/>
      <c r="H56" s="115"/>
      <c r="I56" s="115"/>
      <c r="J56" s="116"/>
      <c r="K56" s="102"/>
      <c r="L56" s="117"/>
      <c r="M56" s="104"/>
      <c r="N56" s="104"/>
      <c r="O56" s="118"/>
      <c r="P56" s="119"/>
      <c r="Q56" s="119"/>
      <c r="R56" s="119"/>
      <c r="S56" s="119"/>
      <c r="T56" s="119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2"/>
      <c r="BB56" s="113"/>
      <c r="BC56" s="123"/>
      <c r="BD56" s="124"/>
      <c r="BE56" s="1"/>
      <c r="BF56" s="2"/>
      <c r="BG56" s="3"/>
      <c r="BH56" s="3"/>
    </row>
    <row r="57" ht="12.75" customHeight="1">
      <c r="A57" s="1"/>
      <c r="B57" s="113"/>
      <c r="C57" s="114"/>
      <c r="D57" s="114"/>
      <c r="E57" s="115"/>
      <c r="F57" s="115"/>
      <c r="G57" s="115"/>
      <c r="H57" s="115"/>
      <c r="I57" s="115"/>
      <c r="J57" s="116"/>
      <c r="K57" s="102"/>
      <c r="L57" s="125"/>
      <c r="M57" s="104"/>
      <c r="N57" s="104"/>
      <c r="O57" s="118"/>
      <c r="P57" s="119"/>
      <c r="Q57" s="119"/>
      <c r="R57" s="119"/>
      <c r="S57" s="119"/>
      <c r="T57" s="119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2"/>
      <c r="BB57" s="113"/>
      <c r="BC57" s="123"/>
      <c r="BD57" s="124"/>
      <c r="BE57" s="1"/>
      <c r="BF57" s="2"/>
      <c r="BG57" s="3"/>
      <c r="BH57" s="3"/>
    </row>
    <row r="58" ht="12.75" customHeight="1">
      <c r="A58" s="1"/>
      <c r="B58" s="113"/>
      <c r="C58" s="114"/>
      <c r="D58" s="114"/>
      <c r="E58" s="115"/>
      <c r="F58" s="115"/>
      <c r="G58" s="115"/>
      <c r="H58" s="115"/>
      <c r="I58" s="115"/>
      <c r="J58" s="116"/>
      <c r="K58" s="102"/>
      <c r="L58" s="103"/>
      <c r="M58" s="104"/>
      <c r="N58" s="104"/>
      <c r="O58" s="118"/>
      <c r="P58" s="119"/>
      <c r="Q58" s="119"/>
      <c r="R58" s="119"/>
      <c r="S58" s="119"/>
      <c r="T58" s="119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2"/>
      <c r="BB58" s="113"/>
      <c r="BC58" s="123"/>
      <c r="BD58" s="124"/>
      <c r="BE58" s="1"/>
      <c r="BF58" s="2"/>
      <c r="BG58" s="3"/>
      <c r="BH58" s="3"/>
    </row>
    <row r="59" ht="12.0" customHeight="1">
      <c r="A59" s="1"/>
      <c r="B59" s="113"/>
      <c r="C59" s="114"/>
      <c r="D59" s="114"/>
      <c r="E59" s="115"/>
      <c r="F59" s="115"/>
      <c r="G59" s="115"/>
      <c r="H59" s="115"/>
      <c r="I59" s="115"/>
      <c r="J59" s="116"/>
      <c r="K59" s="102"/>
      <c r="L59" s="126"/>
      <c r="M59" s="104"/>
      <c r="N59" s="104"/>
      <c r="O59" s="127"/>
      <c r="P59" s="128"/>
      <c r="Q59" s="128"/>
      <c r="R59" s="128"/>
      <c r="S59" s="128"/>
      <c r="T59" s="128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1"/>
      <c r="BB59" s="132"/>
      <c r="BC59" s="25"/>
      <c r="BD59" s="133"/>
      <c r="BE59" s="1"/>
      <c r="BF59" s="2"/>
      <c r="BG59" s="2"/>
      <c r="BH59" s="2"/>
    </row>
    <row r="60" ht="12.75" customHeight="1">
      <c r="A60" s="1"/>
      <c r="B60" s="113"/>
      <c r="C60" s="114"/>
      <c r="D60" s="114"/>
      <c r="E60" s="115"/>
      <c r="F60" s="115"/>
      <c r="G60" s="115"/>
      <c r="H60" s="115"/>
      <c r="I60" s="115"/>
      <c r="J60" s="116"/>
      <c r="K60" s="102"/>
      <c r="L60" s="126"/>
      <c r="M60" s="126"/>
      <c r="N60" s="126"/>
      <c r="O60" s="134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6"/>
      <c r="BD60" s="137"/>
      <c r="BE60" s="1"/>
      <c r="BF60" s="2"/>
      <c r="BG60" s="138"/>
    </row>
    <row r="61" ht="15.75" customHeight="1">
      <c r="A61" s="1"/>
      <c r="B61" s="113"/>
      <c r="C61" s="114"/>
      <c r="D61" s="114"/>
      <c r="E61" s="115"/>
      <c r="F61" s="115"/>
      <c r="G61" s="115"/>
      <c r="H61" s="115"/>
      <c r="I61" s="115"/>
      <c r="J61" s="116"/>
      <c r="K61" s="139"/>
      <c r="L61" s="126"/>
      <c r="M61" s="117"/>
      <c r="N61" s="117"/>
      <c r="O61" s="140"/>
      <c r="P61" s="136"/>
      <c r="Q61" s="136"/>
      <c r="R61" s="136"/>
      <c r="S61" s="136"/>
      <c r="T61" s="136"/>
      <c r="U61" s="136"/>
      <c r="V61" s="136"/>
      <c r="W61" s="136"/>
      <c r="X61" s="136" t="s">
        <v>112</v>
      </c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"/>
      <c r="BC61" s="136"/>
      <c r="BD61" s="137"/>
      <c r="BE61" s="1"/>
      <c r="BF61" s="2"/>
      <c r="BG61" s="3"/>
      <c r="BH61" s="3"/>
    </row>
    <row r="62" ht="12.75" customHeight="1">
      <c r="A62" s="1"/>
      <c r="B62" s="113"/>
      <c r="C62" s="114"/>
      <c r="D62" s="114"/>
      <c r="E62" s="115"/>
      <c r="F62" s="115"/>
      <c r="G62" s="115"/>
      <c r="H62" s="115"/>
      <c r="I62" s="115"/>
      <c r="J62" s="116"/>
      <c r="K62" s="102"/>
      <c r="L62" s="103"/>
      <c r="M62" s="117"/>
      <c r="N62" s="117"/>
      <c r="O62" s="140"/>
      <c r="P62" s="136"/>
      <c r="Q62" s="136"/>
      <c r="R62" s="136"/>
      <c r="S62" s="136"/>
      <c r="T62" s="136"/>
      <c r="U62" s="136"/>
      <c r="V62" s="136"/>
      <c r="W62" s="136"/>
      <c r="X62" s="136" t="s">
        <v>113</v>
      </c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"/>
      <c r="BC62" s="136"/>
      <c r="BD62" s="137"/>
      <c r="BE62" s="1"/>
      <c r="BF62" s="2"/>
      <c r="BG62" s="141"/>
      <c r="BH62" s="141"/>
    </row>
    <row r="63" ht="18.0" customHeight="1">
      <c r="A63" s="1"/>
      <c r="B63" s="113"/>
      <c r="C63" s="114"/>
      <c r="D63" s="114"/>
      <c r="E63" s="115"/>
      <c r="F63" s="115"/>
      <c r="G63" s="115"/>
      <c r="H63" s="115"/>
      <c r="I63" s="115"/>
      <c r="J63" s="116"/>
      <c r="K63" s="102"/>
      <c r="L63" s="103"/>
      <c r="M63" s="117"/>
      <c r="N63" s="142"/>
      <c r="O63" s="140"/>
      <c r="P63" s="136"/>
      <c r="Q63" s="136"/>
      <c r="R63" s="136"/>
      <c r="S63" s="136"/>
      <c r="T63" s="136"/>
      <c r="U63" s="136"/>
      <c r="V63" s="136"/>
      <c r="W63" s="136"/>
      <c r="X63" s="143" t="s">
        <v>114</v>
      </c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7"/>
      <c r="BE63" s="1"/>
      <c r="BF63" s="2"/>
      <c r="BG63" s="141"/>
      <c r="BH63" s="141"/>
    </row>
    <row r="64" ht="18.0" customHeight="1">
      <c r="A64" s="1"/>
      <c r="B64" s="113"/>
      <c r="C64" s="114"/>
      <c r="D64" s="114"/>
      <c r="E64" s="115"/>
      <c r="F64" s="115"/>
      <c r="G64" s="115"/>
      <c r="H64" s="115"/>
      <c r="I64" s="115"/>
      <c r="J64" s="116"/>
      <c r="K64" s="102"/>
      <c r="L64" s="103"/>
      <c r="M64" s="117"/>
      <c r="N64" s="142"/>
      <c r="O64" s="140"/>
      <c r="P64" s="136"/>
      <c r="Q64" s="136"/>
      <c r="R64" s="136"/>
      <c r="S64" s="136"/>
      <c r="T64" s="136"/>
      <c r="U64" s="136"/>
      <c r="V64" s="136"/>
      <c r="W64" s="136"/>
      <c r="X64" s="144" t="s">
        <v>115</v>
      </c>
      <c r="Y64" s="145" t="s">
        <v>116</v>
      </c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7"/>
      <c r="BE64" s="1"/>
      <c r="BF64" s="2"/>
      <c r="BG64" s="141"/>
      <c r="BH64" s="141"/>
    </row>
    <row r="65" ht="18.75" customHeight="1">
      <c r="A65" s="1"/>
      <c r="B65" s="113"/>
      <c r="C65" s="114"/>
      <c r="D65" s="114"/>
      <c r="E65" s="115"/>
      <c r="F65" s="115"/>
      <c r="G65" s="115"/>
      <c r="H65" s="115"/>
      <c r="I65" s="115"/>
      <c r="J65" s="116"/>
      <c r="K65" s="102"/>
      <c r="L65" s="103"/>
      <c r="M65" s="103"/>
      <c r="N65" s="103"/>
      <c r="O65" s="140"/>
      <c r="P65" s="136"/>
      <c r="Q65" s="136"/>
      <c r="R65" s="136"/>
      <c r="S65" s="136"/>
      <c r="T65" s="136"/>
      <c r="U65" s="136"/>
      <c r="V65" s="136"/>
      <c r="W65" s="136"/>
      <c r="X65" s="146" t="s">
        <v>9</v>
      </c>
      <c r="Y65" s="145" t="s">
        <v>117</v>
      </c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7"/>
      <c r="BE65" s="1"/>
      <c r="BF65" s="2"/>
      <c r="BG65" s="141"/>
      <c r="BH65" s="141"/>
    </row>
    <row r="66" ht="15.75" customHeight="1">
      <c r="A66" s="1"/>
      <c r="B66" s="113"/>
      <c r="C66" s="114"/>
      <c r="D66" s="114"/>
      <c r="E66" s="115"/>
      <c r="F66" s="115"/>
      <c r="G66" s="115"/>
      <c r="H66" s="115"/>
      <c r="I66" s="115"/>
      <c r="J66" s="116"/>
      <c r="K66" s="102"/>
      <c r="L66" s="147"/>
      <c r="M66" s="1"/>
      <c r="N66" s="1"/>
      <c r="O66" s="140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7"/>
      <c r="BE66" s="1"/>
      <c r="BF66" s="2"/>
      <c r="BG66" s="148"/>
      <c r="BH66" s="3"/>
    </row>
    <row r="67" ht="13.5" customHeight="1">
      <c r="A67" s="1"/>
      <c r="B67" s="113"/>
      <c r="C67" s="114"/>
      <c r="D67" s="114"/>
      <c r="E67" s="115"/>
      <c r="F67" s="115"/>
      <c r="G67" s="115"/>
      <c r="H67" s="115"/>
      <c r="I67" s="115"/>
      <c r="J67" s="116"/>
      <c r="K67" s="149"/>
      <c r="L67" s="150"/>
      <c r="M67" s="150"/>
      <c r="N67" s="150"/>
      <c r="O67" s="151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3"/>
      <c r="BE67" s="1"/>
      <c r="BF67" s="2"/>
      <c r="BG67" s="148"/>
      <c r="BH67" s="148"/>
    </row>
    <row r="68" ht="12.75" customHeight="1">
      <c r="A68" s="1"/>
      <c r="B68" s="113"/>
      <c r="C68" s="114"/>
      <c r="D68" s="114"/>
      <c r="E68" s="115"/>
      <c r="F68" s="115"/>
      <c r="G68" s="115"/>
      <c r="H68" s="115"/>
      <c r="I68" s="115"/>
      <c r="J68" s="116"/>
      <c r="K68" s="154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6"/>
      <c r="BE68" s="1"/>
      <c r="BF68" s="2"/>
      <c r="BG68" s="3"/>
      <c r="BH68" s="3"/>
    </row>
    <row r="69" ht="12.75" customHeight="1">
      <c r="A69" s="1"/>
      <c r="B69" s="113"/>
      <c r="C69" s="114"/>
      <c r="D69" s="114"/>
      <c r="E69" s="115"/>
      <c r="F69" s="115"/>
      <c r="G69" s="115"/>
      <c r="H69" s="115"/>
      <c r="I69" s="115"/>
      <c r="J69" s="116"/>
      <c r="K69" s="157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9"/>
      <c r="BE69" s="1"/>
      <c r="BF69" s="2"/>
      <c r="BG69" s="3"/>
      <c r="BH69" s="3"/>
    </row>
    <row r="70" ht="12.75" customHeight="1">
      <c r="A70" s="1"/>
      <c r="B70" s="113"/>
      <c r="C70" s="114"/>
      <c r="D70" s="114"/>
      <c r="E70" s="115"/>
      <c r="F70" s="115"/>
      <c r="G70" s="115"/>
      <c r="H70" s="115"/>
      <c r="I70" s="115"/>
      <c r="J70" s="116"/>
      <c r="K70" s="157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9"/>
      <c r="BE70" s="1"/>
      <c r="BF70" s="2"/>
      <c r="BG70" s="3"/>
      <c r="BH70" s="3"/>
    </row>
    <row r="71" ht="13.5" customHeight="1">
      <c r="A71" s="1"/>
      <c r="B71" s="132"/>
      <c r="C71" s="160"/>
      <c r="D71" s="160"/>
      <c r="E71" s="161"/>
      <c r="F71" s="161"/>
      <c r="G71" s="161"/>
      <c r="H71" s="161"/>
      <c r="I71" s="161"/>
      <c r="J71" s="162"/>
      <c r="K71" s="163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5"/>
      <c r="BE71" s="1"/>
      <c r="BF71" s="2"/>
      <c r="BG71" s="3"/>
      <c r="BH71" s="3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2"/>
      <c r="BG72" s="3"/>
      <c r="BH72" s="3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"/>
      <c r="Q73" s="3"/>
      <c r="R73" s="3"/>
      <c r="S73" s="3"/>
      <c r="T73" s="3"/>
      <c r="U73" s="3"/>
      <c r="V73" s="166"/>
      <c r="W73" s="167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"/>
      <c r="Q74" s="3"/>
      <c r="R74" s="3"/>
      <c r="S74" s="3"/>
      <c r="T74" s="3"/>
      <c r="U74" s="3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2"/>
      <c r="BG77" s="3"/>
      <c r="BH77" s="3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2"/>
      <c r="BG78" s="3"/>
      <c r="BH78" s="3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2"/>
      <c r="BG79" s="3"/>
      <c r="BH79" s="3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2"/>
      <c r="BG80" s="3"/>
      <c r="BH80" s="3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2"/>
      <c r="BG81" s="3"/>
      <c r="BH81" s="3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2"/>
      <c r="BG82" s="3"/>
      <c r="BH82" s="3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2"/>
      <c r="BG83" s="3"/>
      <c r="BH83" s="3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2"/>
      <c r="BG84" s="3"/>
      <c r="BH84" s="3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2"/>
      <c r="BG85" s="3"/>
      <c r="BH85" s="3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2"/>
      <c r="BG86" s="3"/>
      <c r="BH86" s="3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2"/>
      <c r="BG87" s="3"/>
      <c r="BH87" s="3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2"/>
      <c r="BG88" s="3"/>
      <c r="BH88" s="3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2"/>
      <c r="BG89" s="3"/>
      <c r="BH89" s="3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2"/>
      <c r="BG90" s="3"/>
      <c r="BH90" s="3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2"/>
      <c r="BG91" s="3"/>
      <c r="BH91" s="3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2"/>
      <c r="BG92" s="3"/>
      <c r="BH92" s="3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2"/>
      <c r="BG93" s="3"/>
      <c r="BH93" s="3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2"/>
      <c r="BG94" s="3"/>
      <c r="BH94" s="3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2"/>
      <c r="BG95" s="3"/>
      <c r="BH95" s="3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2"/>
      <c r="BG96" s="3"/>
      <c r="BH96" s="3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2"/>
      <c r="BG97" s="3"/>
      <c r="BH97" s="3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2"/>
      <c r="BG98" s="3"/>
      <c r="BH98" s="3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2"/>
      <c r="BG99" s="3"/>
      <c r="BH99" s="3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2"/>
      <c r="BG100" s="3"/>
      <c r="BH100" s="3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2"/>
      <c r="BG101" s="3"/>
      <c r="BH101" s="3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2"/>
      <c r="BG102" s="3"/>
      <c r="BH102" s="3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2"/>
      <c r="BG103" s="3"/>
      <c r="BH103" s="3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2"/>
      <c r="BG104" s="3"/>
      <c r="BH104" s="3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2"/>
      <c r="BG105" s="3"/>
      <c r="BH105" s="3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2"/>
      <c r="BG106" s="3"/>
      <c r="BH106" s="3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2"/>
      <c r="BG107" s="3"/>
      <c r="BH107" s="3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2"/>
      <c r="BG108" s="3"/>
      <c r="BH108" s="3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2"/>
      <c r="BG109" s="3"/>
      <c r="BH109" s="3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2"/>
      <c r="BG110" s="3"/>
      <c r="BH110" s="3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2"/>
      <c r="BG111" s="3"/>
      <c r="BH111" s="3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2"/>
      <c r="BG112" s="3"/>
      <c r="BH112" s="3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2"/>
      <c r="BG113" s="3"/>
      <c r="BH113" s="3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2"/>
      <c r="BG114" s="3"/>
      <c r="BH114" s="3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2"/>
      <c r="BG115" s="3"/>
      <c r="BH115" s="3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2"/>
      <c r="BG116" s="3"/>
      <c r="BH116" s="3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2"/>
      <c r="BG117" s="3"/>
      <c r="BH117" s="3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2"/>
      <c r="BG118" s="3"/>
      <c r="BH118" s="3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2"/>
      <c r="BG119" s="3"/>
      <c r="BH119" s="3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2"/>
      <c r="BG120" s="3"/>
      <c r="BH120" s="3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2"/>
      <c r="BG121" s="3"/>
      <c r="BH121" s="3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2"/>
      <c r="BG122" s="3"/>
      <c r="BH122" s="3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2"/>
      <c r="BG123" s="3"/>
      <c r="BH123" s="3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2"/>
      <c r="BG124" s="3"/>
      <c r="BH124" s="3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2"/>
      <c r="BG125" s="3"/>
      <c r="BH125" s="3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2"/>
      <c r="BG126" s="3"/>
      <c r="BH126" s="3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2"/>
      <c r="BG127" s="3"/>
      <c r="BH127" s="3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2"/>
      <c r="BG128" s="3"/>
      <c r="BH128" s="3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2"/>
      <c r="BG129" s="3"/>
      <c r="BH129" s="3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2"/>
      <c r="BG130" s="3"/>
      <c r="BH130" s="3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2"/>
      <c r="BG131" s="3"/>
      <c r="BH131" s="3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2"/>
      <c r="BG132" s="3"/>
      <c r="BH132" s="3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2"/>
      <c r="BG133" s="3"/>
      <c r="BH133" s="3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2"/>
      <c r="BG134" s="3"/>
      <c r="BH134" s="3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2"/>
      <c r="BG135" s="3"/>
      <c r="BH135" s="3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2"/>
      <c r="BG136" s="3"/>
      <c r="BH136" s="3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2"/>
      <c r="BG137" s="3"/>
      <c r="BH137" s="3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2"/>
      <c r="BG138" s="3"/>
      <c r="BH138" s="3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2"/>
      <c r="BG139" s="3"/>
      <c r="BH139" s="3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2"/>
      <c r="BG140" s="3"/>
      <c r="BH140" s="3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2"/>
      <c r="BG141" s="3"/>
      <c r="BH141" s="3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2"/>
      <c r="BG142" s="3"/>
      <c r="BH142" s="3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2"/>
      <c r="BG143" s="3"/>
      <c r="BH143" s="3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2"/>
      <c r="BG144" s="3"/>
      <c r="BH144" s="3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2"/>
      <c r="BG145" s="3"/>
      <c r="BH145" s="3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2"/>
      <c r="BG146" s="3"/>
      <c r="BH146" s="3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2"/>
      <c r="BG147" s="3"/>
      <c r="BH147" s="3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2"/>
      <c r="BG148" s="3"/>
      <c r="BH148" s="3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2"/>
      <c r="BG149" s="3"/>
      <c r="BH149" s="3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2"/>
      <c r="BG150" s="3"/>
      <c r="BH150" s="3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2"/>
      <c r="BG151" s="3"/>
      <c r="BH151" s="3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2"/>
      <c r="BG152" s="3"/>
      <c r="BH152" s="3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2"/>
      <c r="BG153" s="3"/>
      <c r="BH153" s="3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2"/>
      <c r="BG154" s="3"/>
      <c r="BH154" s="3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2"/>
      <c r="BG155" s="3"/>
      <c r="BH155" s="3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2"/>
      <c r="BG156" s="3"/>
      <c r="BH156" s="3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2"/>
      <c r="BG157" s="3"/>
      <c r="BH157" s="3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2"/>
      <c r="BG158" s="3"/>
      <c r="BH158" s="3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2"/>
      <c r="BG159" s="3"/>
      <c r="BH159" s="3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2"/>
      <c r="BG160" s="3"/>
      <c r="BH160" s="3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2"/>
      <c r="BG161" s="3"/>
      <c r="BH161" s="3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2"/>
      <c r="BG162" s="3"/>
      <c r="BH162" s="3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2"/>
      <c r="BG163" s="3"/>
      <c r="BH163" s="3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2"/>
      <c r="BG164" s="3"/>
      <c r="BH164" s="3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2"/>
      <c r="BG165" s="3"/>
      <c r="BH165" s="3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2"/>
      <c r="BG166" s="3"/>
      <c r="BH166" s="3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2"/>
      <c r="BG167" s="3"/>
      <c r="BH167" s="3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2"/>
      <c r="BG168" s="3"/>
      <c r="BH168" s="3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2"/>
      <c r="BG169" s="3"/>
      <c r="BH169" s="3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2"/>
      <c r="BG170" s="3"/>
      <c r="BH170" s="3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2"/>
      <c r="BG171" s="3"/>
      <c r="BH171" s="3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2"/>
      <c r="BG172" s="3"/>
      <c r="BH172" s="3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2"/>
      <c r="BG173" s="3"/>
      <c r="BH173" s="3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2"/>
      <c r="BG174" s="3"/>
      <c r="BH174" s="3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2"/>
      <c r="BG175" s="3"/>
      <c r="BH175" s="3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2"/>
      <c r="BG176" s="3"/>
      <c r="BH176" s="3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2"/>
      <c r="BG177" s="3"/>
      <c r="BH177" s="3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2"/>
      <c r="BG178" s="3"/>
      <c r="BH178" s="3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2"/>
      <c r="BG179" s="3"/>
      <c r="BH179" s="3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2"/>
      <c r="BG180" s="3"/>
      <c r="BH180" s="3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2"/>
      <c r="BG181" s="3"/>
      <c r="BH181" s="3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2"/>
      <c r="BG182" s="3"/>
      <c r="BH182" s="3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2"/>
      <c r="BG183" s="3"/>
      <c r="BH183" s="3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2"/>
      <c r="BG184" s="3"/>
      <c r="BH184" s="3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2"/>
      <c r="BG185" s="3"/>
      <c r="BH185" s="3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2"/>
      <c r="BG186" s="3"/>
      <c r="BH186" s="3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2"/>
      <c r="BG187" s="3"/>
      <c r="BH187" s="3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2"/>
      <c r="BG188" s="3"/>
      <c r="BH188" s="3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2"/>
      <c r="BG189" s="3"/>
      <c r="BH189" s="3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2"/>
      <c r="BG190" s="3"/>
      <c r="BH190" s="3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2"/>
      <c r="BG191" s="3"/>
      <c r="BH191" s="3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2"/>
      <c r="BG192" s="3"/>
      <c r="BH192" s="3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2"/>
      <c r="BG193" s="3"/>
      <c r="BH193" s="3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2"/>
      <c r="BG194" s="3"/>
      <c r="BH194" s="3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2"/>
      <c r="BG195" s="3"/>
      <c r="BH195" s="3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2"/>
      <c r="BG196" s="3"/>
      <c r="BH196" s="3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2"/>
      <c r="BG197" s="3"/>
      <c r="BH197" s="3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2"/>
      <c r="BG198" s="3"/>
      <c r="BH198" s="3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2"/>
      <c r="BG199" s="3"/>
      <c r="BH199" s="3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2"/>
      <c r="BG200" s="3"/>
      <c r="BH200" s="3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2"/>
      <c r="BG201" s="3"/>
      <c r="BH201" s="3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2"/>
      <c r="BG202" s="3"/>
      <c r="BH202" s="3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2"/>
      <c r="BG203" s="3"/>
      <c r="BH203" s="3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2"/>
      <c r="BG204" s="3"/>
      <c r="BH204" s="3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2"/>
      <c r="BG205" s="3"/>
      <c r="BH205" s="3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2"/>
      <c r="BG206" s="3"/>
      <c r="BH206" s="3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2"/>
      <c r="BG207" s="3"/>
      <c r="BH207" s="3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2"/>
      <c r="BG208" s="3"/>
      <c r="BH208" s="3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2"/>
      <c r="BG209" s="3"/>
      <c r="BH209" s="3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2"/>
      <c r="BG210" s="3"/>
      <c r="BH210" s="3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2"/>
      <c r="BG211" s="3"/>
      <c r="BH211" s="3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2"/>
      <c r="BG212" s="3"/>
      <c r="BH212" s="3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2"/>
      <c r="BG213" s="3"/>
      <c r="BH213" s="3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2"/>
      <c r="BG214" s="3"/>
      <c r="BH214" s="3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2"/>
      <c r="BG215" s="3"/>
      <c r="BH215" s="3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2"/>
      <c r="BG216" s="3"/>
      <c r="BH216" s="3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2"/>
      <c r="BG217" s="3"/>
      <c r="BH217" s="3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2"/>
      <c r="BG218" s="3"/>
      <c r="BH218" s="3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2"/>
      <c r="BG219" s="3"/>
      <c r="BH219" s="3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2"/>
      <c r="BG220" s="3"/>
      <c r="BH220" s="3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2"/>
      <c r="BG221" s="3"/>
      <c r="BH221" s="3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2"/>
      <c r="BG222" s="3"/>
      <c r="BH222" s="3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2"/>
      <c r="BG223" s="3"/>
      <c r="BH223" s="3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2"/>
      <c r="BG224" s="3"/>
      <c r="BH224" s="3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2"/>
      <c r="BG225" s="3"/>
      <c r="BH225" s="3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2"/>
      <c r="BG226" s="3"/>
      <c r="BH226" s="3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2"/>
      <c r="BG227" s="3"/>
      <c r="BH227" s="3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2"/>
      <c r="BG228" s="3"/>
      <c r="BH228" s="3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2"/>
      <c r="BG229" s="3"/>
      <c r="BH229" s="3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2"/>
      <c r="BG230" s="3"/>
      <c r="BH230" s="3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2"/>
      <c r="BG231" s="3"/>
      <c r="BH231" s="3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2"/>
      <c r="BG232" s="3"/>
      <c r="BH232" s="3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2"/>
      <c r="BG233" s="3"/>
      <c r="BH233" s="3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2"/>
      <c r="BG234" s="3"/>
      <c r="BH234" s="3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2"/>
      <c r="BG235" s="3"/>
      <c r="BH235" s="3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2"/>
      <c r="BG236" s="3"/>
      <c r="BH236" s="3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2"/>
      <c r="BG237" s="3"/>
      <c r="BH237" s="3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2"/>
      <c r="BG238" s="3"/>
      <c r="BH238" s="3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2"/>
      <c r="BG239" s="3"/>
      <c r="BH239" s="3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2"/>
      <c r="BG240" s="3"/>
      <c r="BH240" s="3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2"/>
      <c r="BG241" s="3"/>
      <c r="BH241" s="3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2"/>
      <c r="BG242" s="3"/>
      <c r="BH242" s="3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2"/>
      <c r="BG243" s="3"/>
      <c r="BH243" s="3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2"/>
      <c r="BG244" s="3"/>
      <c r="BH244" s="3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2"/>
      <c r="BG245" s="3"/>
      <c r="BH245" s="3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2"/>
      <c r="BG246" s="3"/>
      <c r="BH246" s="3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2"/>
      <c r="BG247" s="3"/>
      <c r="BH247" s="3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2"/>
      <c r="BG248" s="3"/>
      <c r="BH248" s="3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2"/>
      <c r="BG249" s="3"/>
      <c r="BH249" s="3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2"/>
      <c r="BG250" s="3"/>
      <c r="BH250" s="3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2"/>
      <c r="BG251" s="3"/>
      <c r="BH251" s="3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2"/>
      <c r="BG252" s="3"/>
      <c r="BH252" s="3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2"/>
      <c r="BG253" s="3"/>
      <c r="BH253" s="3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2"/>
      <c r="BG254" s="3"/>
      <c r="BH254" s="3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2"/>
      <c r="BG255" s="3"/>
      <c r="BH255" s="3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2"/>
      <c r="BG256" s="3"/>
      <c r="BH256" s="3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2"/>
      <c r="BG257" s="3"/>
      <c r="BH257" s="3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2"/>
      <c r="BG258" s="3"/>
      <c r="BH258" s="3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2"/>
      <c r="BG259" s="3"/>
      <c r="BH259" s="3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2"/>
      <c r="BG260" s="3"/>
      <c r="BH260" s="3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2"/>
      <c r="BG261" s="3"/>
      <c r="BH261" s="3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2"/>
      <c r="BG262" s="3"/>
      <c r="BH262" s="3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2"/>
      <c r="BG263" s="3"/>
      <c r="BH263" s="3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2"/>
      <c r="BG264" s="3"/>
      <c r="BH264" s="3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2"/>
      <c r="BG265" s="3"/>
      <c r="BH265" s="3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2"/>
      <c r="BG266" s="3"/>
      <c r="BH266" s="3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2"/>
      <c r="BG267" s="3"/>
      <c r="BH267" s="3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2"/>
      <c r="BG268" s="3"/>
      <c r="BH268" s="3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2"/>
      <c r="BG269" s="3"/>
      <c r="BH269" s="3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2"/>
      <c r="BG270" s="3"/>
      <c r="BH270" s="3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2"/>
      <c r="BG271" s="3"/>
      <c r="BH271" s="3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2"/>
      <c r="BG272" s="3"/>
      <c r="BH272" s="3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2"/>
      <c r="BG273" s="3"/>
      <c r="BH273" s="3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2"/>
      <c r="BG274" s="3"/>
      <c r="BH274" s="3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2"/>
      <c r="BG275" s="3"/>
      <c r="BH275" s="3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2"/>
      <c r="BG276" s="3"/>
      <c r="BH276" s="3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2"/>
      <c r="BG277" s="3"/>
      <c r="BH277" s="3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2"/>
      <c r="BG278" s="3"/>
      <c r="BH278" s="3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2"/>
      <c r="BG279" s="3"/>
      <c r="BH279" s="3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2"/>
      <c r="BG280" s="3"/>
      <c r="BH280" s="3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2"/>
      <c r="BG281" s="3"/>
      <c r="BH281" s="3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2"/>
      <c r="BG282" s="3"/>
      <c r="BH282" s="3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2"/>
      <c r="BG283" s="3"/>
      <c r="BH283" s="3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2"/>
      <c r="BG284" s="3"/>
      <c r="BH284" s="3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2"/>
      <c r="BG285" s="3"/>
      <c r="BH285" s="3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2"/>
      <c r="BG286" s="3"/>
      <c r="BH286" s="3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2"/>
      <c r="BG287" s="3"/>
      <c r="BH287" s="3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2"/>
      <c r="BG288" s="3"/>
      <c r="BH288" s="3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2"/>
      <c r="BG289" s="3"/>
      <c r="BH289" s="3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2"/>
      <c r="BG290" s="3"/>
      <c r="BH290" s="3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2"/>
      <c r="BG291" s="3"/>
      <c r="BH291" s="3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2"/>
      <c r="BG292" s="3"/>
      <c r="BH292" s="3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2"/>
      <c r="BG293" s="3"/>
      <c r="BH293" s="3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2"/>
      <c r="BG294" s="3"/>
      <c r="BH294" s="3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2"/>
      <c r="BG295" s="3"/>
      <c r="BH295" s="3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2"/>
      <c r="BG296" s="3"/>
      <c r="BH296" s="3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2"/>
      <c r="BG297" s="3"/>
      <c r="BH297" s="3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2"/>
      <c r="BG298" s="3"/>
      <c r="BH298" s="3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2"/>
      <c r="BG299" s="3"/>
      <c r="BH299" s="3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2"/>
      <c r="BG300" s="3"/>
      <c r="BH300" s="3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2"/>
      <c r="BG301" s="3"/>
      <c r="BH301" s="3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2"/>
      <c r="BG302" s="3"/>
      <c r="BH302" s="3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2"/>
      <c r="BG303" s="3"/>
      <c r="BH303" s="3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2"/>
      <c r="BG304" s="3"/>
      <c r="BH304" s="3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2"/>
      <c r="BG305" s="3"/>
      <c r="BH305" s="3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2"/>
      <c r="BG306" s="3"/>
      <c r="BH306" s="3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2"/>
      <c r="BG307" s="3"/>
      <c r="BH307" s="3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2"/>
      <c r="BG308" s="3"/>
      <c r="BH308" s="3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2"/>
      <c r="BG309" s="3"/>
      <c r="BH309" s="3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2"/>
      <c r="BG310" s="3"/>
      <c r="BH310" s="3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2"/>
      <c r="BG311" s="3"/>
      <c r="BH311" s="3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2"/>
      <c r="BG312" s="3"/>
      <c r="BH312" s="3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2"/>
      <c r="BG313" s="3"/>
      <c r="BH313" s="3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2"/>
      <c r="BG314" s="3"/>
      <c r="BH314" s="3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2"/>
      <c r="BG315" s="3"/>
      <c r="BH315" s="3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2"/>
      <c r="BG316" s="3"/>
      <c r="BH316" s="3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2"/>
      <c r="BG317" s="3"/>
      <c r="BH317" s="3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2"/>
      <c r="BG318" s="3"/>
      <c r="BH318" s="3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2"/>
      <c r="BG319" s="3"/>
      <c r="BH319" s="3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2"/>
      <c r="BG320" s="3"/>
      <c r="BH320" s="3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2"/>
      <c r="BG321" s="3"/>
      <c r="BH321" s="3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2"/>
      <c r="BG322" s="3"/>
      <c r="BH322" s="3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2"/>
      <c r="BG323" s="3"/>
      <c r="BH323" s="3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2"/>
      <c r="BG324" s="3"/>
      <c r="BH324" s="3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2"/>
      <c r="BG325" s="3"/>
      <c r="BH325" s="3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2"/>
      <c r="BG326" s="3"/>
      <c r="BH326" s="3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2"/>
      <c r="BG327" s="3"/>
      <c r="BH327" s="3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2"/>
      <c r="BG328" s="3"/>
      <c r="BH328" s="3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2"/>
      <c r="BG329" s="3"/>
      <c r="BH329" s="3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2"/>
      <c r="BG330" s="3"/>
      <c r="BH330" s="3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2"/>
      <c r="BG331" s="3"/>
      <c r="BH331" s="3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2"/>
      <c r="BG332" s="3"/>
      <c r="BH332" s="3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2"/>
      <c r="BG333" s="3"/>
      <c r="BH333" s="3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2"/>
      <c r="BG334" s="3"/>
      <c r="BH334" s="3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2"/>
      <c r="BG335" s="3"/>
      <c r="BH335" s="3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2"/>
      <c r="BG336" s="3"/>
      <c r="BH336" s="3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2"/>
      <c r="BG337" s="3"/>
      <c r="BH337" s="3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2"/>
      <c r="BG338" s="3"/>
      <c r="BH338" s="3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2"/>
      <c r="BG339" s="3"/>
      <c r="BH339" s="3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2"/>
      <c r="BG340" s="3"/>
      <c r="BH340" s="3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2"/>
      <c r="BG341" s="3"/>
      <c r="BH341" s="3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2"/>
      <c r="BG342" s="3"/>
      <c r="BH342" s="3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2"/>
      <c r="BG343" s="3"/>
      <c r="BH343" s="3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2"/>
      <c r="BG344" s="3"/>
      <c r="BH344" s="3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2"/>
      <c r="BG345" s="3"/>
      <c r="BH345" s="3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2"/>
      <c r="BG346" s="3"/>
      <c r="BH346" s="3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2"/>
      <c r="BG347" s="3"/>
      <c r="BH347" s="3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2"/>
      <c r="BG348" s="3"/>
      <c r="BH348" s="3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2"/>
      <c r="BG349" s="3"/>
      <c r="BH349" s="3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2"/>
      <c r="BG350" s="3"/>
      <c r="BH350" s="3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2"/>
      <c r="BG351" s="3"/>
      <c r="BH351" s="3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2"/>
      <c r="BG352" s="3"/>
      <c r="BH352" s="3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2"/>
      <c r="BG353" s="3"/>
      <c r="BH353" s="3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2"/>
      <c r="BG354" s="3"/>
      <c r="BH354" s="3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2"/>
      <c r="BG355" s="3"/>
      <c r="BH355" s="3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2"/>
      <c r="BG356" s="3"/>
      <c r="BH356" s="3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2"/>
      <c r="BG357" s="3"/>
      <c r="BH357" s="3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2"/>
      <c r="BG358" s="3"/>
      <c r="BH358" s="3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2"/>
      <c r="BG359" s="3"/>
      <c r="BH359" s="3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2"/>
      <c r="BG360" s="3"/>
      <c r="BH360" s="3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2"/>
      <c r="BG361" s="3"/>
      <c r="BH361" s="3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2"/>
      <c r="BG362" s="3"/>
      <c r="BH362" s="3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2"/>
      <c r="BG363" s="3"/>
      <c r="BH363" s="3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2"/>
      <c r="BG364" s="3"/>
      <c r="BH364" s="3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2"/>
      <c r="BG365" s="3"/>
      <c r="BH365" s="3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2"/>
      <c r="BG366" s="3"/>
      <c r="BH366" s="3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2"/>
      <c r="BG367" s="3"/>
      <c r="BH367" s="3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2"/>
      <c r="BG368" s="3"/>
      <c r="BH368" s="3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2"/>
      <c r="BG369" s="3"/>
      <c r="BH369" s="3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2"/>
      <c r="BG370" s="3"/>
      <c r="BH370" s="3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2"/>
      <c r="BG371" s="3"/>
      <c r="BH371" s="3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2"/>
      <c r="BG372" s="3"/>
      <c r="BH372" s="3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2"/>
      <c r="BG373" s="3"/>
      <c r="BH373" s="3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2"/>
      <c r="BG374" s="3"/>
      <c r="BH374" s="3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2"/>
      <c r="BG375" s="3"/>
      <c r="BH375" s="3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2"/>
      <c r="BG376" s="3"/>
      <c r="BH376" s="3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2"/>
      <c r="BG377" s="3"/>
      <c r="BH377" s="3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2"/>
      <c r="BG378" s="3"/>
      <c r="BH378" s="3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2"/>
      <c r="BG379" s="3"/>
      <c r="BH379" s="3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2"/>
      <c r="BG380" s="3"/>
      <c r="BH380" s="3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2"/>
      <c r="BG381" s="3"/>
      <c r="BH381" s="3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2"/>
      <c r="BG382" s="3"/>
      <c r="BH382" s="3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2"/>
      <c r="BG383" s="3"/>
      <c r="BH383" s="3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2"/>
      <c r="BG384" s="3"/>
      <c r="BH384" s="3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2"/>
      <c r="BG385" s="3"/>
      <c r="BH385" s="3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2"/>
      <c r="BG386" s="3"/>
      <c r="BH386" s="3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2"/>
      <c r="BG387" s="3"/>
      <c r="BH387" s="3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2"/>
      <c r="BG388" s="3"/>
      <c r="BH388" s="3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2"/>
      <c r="BG389" s="3"/>
      <c r="BH389" s="3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2"/>
      <c r="BG390" s="3"/>
      <c r="BH390" s="3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2"/>
      <c r="BG391" s="3"/>
      <c r="BH391" s="3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2"/>
      <c r="BG392" s="3"/>
      <c r="BH392" s="3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2"/>
      <c r="BG393" s="3"/>
      <c r="BH393" s="3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2"/>
      <c r="BG394" s="3"/>
      <c r="BH394" s="3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2"/>
      <c r="BG395" s="3"/>
      <c r="BH395" s="3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2"/>
      <c r="BG396" s="3"/>
      <c r="BH396" s="3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2"/>
      <c r="BG397" s="3"/>
      <c r="BH397" s="3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2"/>
      <c r="BG398" s="3"/>
      <c r="BH398" s="3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2"/>
      <c r="BG399" s="3"/>
      <c r="BH399" s="3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2"/>
      <c r="BG400" s="3"/>
      <c r="BH400" s="3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2"/>
      <c r="BG401" s="3"/>
      <c r="BH401" s="3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2"/>
      <c r="BG402" s="3"/>
      <c r="BH402" s="3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2"/>
      <c r="BG403" s="3"/>
      <c r="BH403" s="3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2"/>
      <c r="BG404" s="3"/>
      <c r="BH404" s="3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2"/>
      <c r="BG405" s="3"/>
      <c r="BH405" s="3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2"/>
      <c r="BG406" s="3"/>
      <c r="BH406" s="3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2"/>
      <c r="BG407" s="3"/>
      <c r="BH407" s="3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2"/>
      <c r="BG408" s="3"/>
      <c r="BH408" s="3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2"/>
      <c r="BG409" s="3"/>
      <c r="BH409" s="3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2"/>
      <c r="BG410" s="3"/>
      <c r="BH410" s="3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2"/>
      <c r="BG411" s="3"/>
      <c r="BH411" s="3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2"/>
      <c r="BG412" s="3"/>
      <c r="BH412" s="3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2"/>
      <c r="BG413" s="3"/>
      <c r="BH413" s="3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2"/>
      <c r="BG414" s="3"/>
      <c r="BH414" s="3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2"/>
      <c r="BG415" s="3"/>
      <c r="BH415" s="3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2"/>
      <c r="BG416" s="3"/>
      <c r="BH416" s="3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2"/>
      <c r="BG417" s="3"/>
      <c r="BH417" s="3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2"/>
      <c r="BG418" s="3"/>
      <c r="BH418" s="3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2"/>
      <c r="BG419" s="3"/>
      <c r="BH419" s="3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2"/>
      <c r="BG420" s="3"/>
      <c r="BH420" s="3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2"/>
      <c r="BG421" s="3"/>
      <c r="BH421" s="3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2"/>
      <c r="BG422" s="3"/>
      <c r="BH422" s="3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2"/>
      <c r="BG423" s="3"/>
      <c r="BH423" s="3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2"/>
      <c r="BG424" s="3"/>
      <c r="BH424" s="3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2"/>
      <c r="BG425" s="3"/>
      <c r="BH425" s="3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2"/>
      <c r="BG426" s="3"/>
      <c r="BH426" s="3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2"/>
      <c r="BG427" s="3"/>
      <c r="BH427" s="3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2"/>
      <c r="BG428" s="3"/>
      <c r="BH428" s="3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2"/>
      <c r="BG429" s="3"/>
      <c r="BH429" s="3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2"/>
      <c r="BG430" s="3"/>
      <c r="BH430" s="3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2"/>
      <c r="BG431" s="3"/>
      <c r="BH431" s="3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2"/>
      <c r="BG432" s="3"/>
      <c r="BH432" s="3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2"/>
      <c r="BG433" s="3"/>
      <c r="BH433" s="3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2"/>
      <c r="BG434" s="3"/>
      <c r="BH434" s="3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2"/>
      <c r="BG435" s="3"/>
      <c r="BH435" s="3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2"/>
      <c r="BG436" s="3"/>
      <c r="BH436" s="3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2"/>
      <c r="BG437" s="3"/>
      <c r="BH437" s="3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2"/>
      <c r="BG438" s="3"/>
      <c r="BH438" s="3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2"/>
      <c r="BG439" s="3"/>
      <c r="BH439" s="3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2"/>
      <c r="BG440" s="3"/>
      <c r="BH440" s="3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2"/>
      <c r="BG441" s="3"/>
      <c r="BH441" s="3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2"/>
      <c r="BG442" s="3"/>
      <c r="BH442" s="3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2"/>
      <c r="BG443" s="3"/>
      <c r="BH443" s="3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2"/>
      <c r="BG444" s="3"/>
      <c r="BH444" s="3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2"/>
      <c r="BG445" s="3"/>
      <c r="BH445" s="3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2"/>
      <c r="BG446" s="3"/>
      <c r="BH446" s="3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2"/>
      <c r="BG447" s="3"/>
      <c r="BH447" s="3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2"/>
      <c r="BG448" s="3"/>
      <c r="BH448" s="3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2"/>
      <c r="BG449" s="3"/>
      <c r="BH449" s="3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2"/>
      <c r="BG450" s="3"/>
      <c r="BH450" s="3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2"/>
      <c r="BG451" s="3"/>
      <c r="BH451" s="3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2"/>
      <c r="BG452" s="3"/>
      <c r="BH452" s="3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2"/>
      <c r="BG453" s="3"/>
      <c r="BH453" s="3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2"/>
      <c r="BG454" s="3"/>
      <c r="BH454" s="3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2"/>
      <c r="BG455" s="3"/>
      <c r="BH455" s="3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2"/>
      <c r="BG456" s="3"/>
      <c r="BH456" s="3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2"/>
      <c r="BG457" s="3"/>
      <c r="BH457" s="3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2"/>
      <c r="BG458" s="3"/>
      <c r="BH458" s="3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2"/>
      <c r="BG459" s="3"/>
      <c r="BH459" s="3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2"/>
      <c r="BG460" s="3"/>
      <c r="BH460" s="3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2"/>
      <c r="BG461" s="3"/>
      <c r="BH461" s="3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2"/>
      <c r="BG462" s="3"/>
      <c r="BH462" s="3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2"/>
      <c r="BG463" s="3"/>
      <c r="BH463" s="3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2"/>
      <c r="BG464" s="3"/>
      <c r="BH464" s="3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2"/>
      <c r="BG465" s="3"/>
      <c r="BH465" s="3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2"/>
      <c r="BG466" s="3"/>
      <c r="BH466" s="3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2"/>
      <c r="BG467" s="3"/>
      <c r="BH467" s="3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2"/>
      <c r="BG468" s="3"/>
      <c r="BH468" s="3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2"/>
      <c r="BG469" s="3"/>
      <c r="BH469" s="3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2"/>
      <c r="BG470" s="3"/>
      <c r="BH470" s="3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2"/>
      <c r="BG471" s="3"/>
      <c r="BH471" s="3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2"/>
      <c r="BG472" s="3"/>
      <c r="BH472" s="3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2"/>
      <c r="BG473" s="3"/>
      <c r="BH473" s="3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2"/>
      <c r="BG474" s="3"/>
      <c r="BH474" s="3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2"/>
      <c r="BG475" s="3"/>
      <c r="BH475" s="3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2"/>
      <c r="BG476" s="3"/>
      <c r="BH476" s="3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2"/>
      <c r="BG477" s="3"/>
      <c r="BH477" s="3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2"/>
      <c r="BG478" s="3"/>
      <c r="BH478" s="3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2"/>
      <c r="BG479" s="3"/>
      <c r="BH479" s="3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2"/>
      <c r="BG480" s="3"/>
      <c r="BH480" s="3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2"/>
      <c r="BG481" s="3"/>
      <c r="BH481" s="3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2"/>
      <c r="BG482" s="3"/>
      <c r="BH482" s="3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2"/>
      <c r="BG483" s="3"/>
      <c r="BH483" s="3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2"/>
      <c r="BG484" s="3"/>
      <c r="BH484" s="3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2"/>
      <c r="BG485" s="3"/>
      <c r="BH485" s="3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2"/>
      <c r="BG486" s="3"/>
      <c r="BH486" s="3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2"/>
      <c r="BG487" s="3"/>
      <c r="BH487" s="3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2"/>
      <c r="BG488" s="3"/>
      <c r="BH488" s="3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2"/>
      <c r="BG489" s="3"/>
      <c r="BH489" s="3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2"/>
      <c r="BG490" s="3"/>
      <c r="BH490" s="3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2"/>
      <c r="BG491" s="3"/>
      <c r="BH491" s="3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2"/>
      <c r="BG492" s="3"/>
      <c r="BH492" s="3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2"/>
      <c r="BG493" s="3"/>
      <c r="BH493" s="3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2"/>
      <c r="BG494" s="3"/>
      <c r="BH494" s="3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2"/>
      <c r="BG495" s="3"/>
      <c r="BH495" s="3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2"/>
      <c r="BG496" s="3"/>
      <c r="BH496" s="3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2"/>
      <c r="BG497" s="3"/>
      <c r="BH497" s="3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2"/>
      <c r="BG498" s="3"/>
      <c r="BH498" s="3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2"/>
      <c r="BG499" s="3"/>
      <c r="BH499" s="3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2"/>
      <c r="BG500" s="3"/>
      <c r="BH500" s="3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2"/>
      <c r="BG501" s="3"/>
      <c r="BH501" s="3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2"/>
      <c r="BG502" s="3"/>
      <c r="BH502" s="3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2"/>
      <c r="BG503" s="3"/>
      <c r="BH503" s="3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2"/>
      <c r="BG504" s="3"/>
      <c r="BH504" s="3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2"/>
      <c r="BG505" s="3"/>
      <c r="BH505" s="3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2"/>
      <c r="BG506" s="3"/>
      <c r="BH506" s="3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2"/>
      <c r="BG507" s="3"/>
      <c r="BH507" s="3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2"/>
      <c r="BG508" s="3"/>
      <c r="BH508" s="3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2"/>
      <c r="BG509" s="3"/>
      <c r="BH509" s="3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2"/>
      <c r="BG510" s="3"/>
      <c r="BH510" s="3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2"/>
      <c r="BG511" s="3"/>
      <c r="BH511" s="3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2"/>
      <c r="BG512" s="3"/>
      <c r="BH512" s="3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2"/>
      <c r="BG513" s="3"/>
      <c r="BH513" s="3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2"/>
      <c r="BG514" s="3"/>
      <c r="BH514" s="3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2"/>
      <c r="BG515" s="3"/>
      <c r="BH515" s="3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2"/>
      <c r="BG516" s="3"/>
      <c r="BH516" s="3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2"/>
      <c r="BG517" s="3"/>
      <c r="BH517" s="3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2"/>
      <c r="BG518" s="3"/>
      <c r="BH518" s="3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2"/>
      <c r="BG519" s="3"/>
      <c r="BH519" s="3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2"/>
      <c r="BG520" s="3"/>
      <c r="BH520" s="3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2"/>
      <c r="BG521" s="3"/>
      <c r="BH521" s="3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2"/>
      <c r="BG522" s="3"/>
      <c r="BH522" s="3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2"/>
      <c r="BG523" s="3"/>
      <c r="BH523" s="3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2"/>
      <c r="BG524" s="3"/>
      <c r="BH524" s="3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2"/>
      <c r="BG525" s="3"/>
      <c r="BH525" s="3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2"/>
      <c r="BG526" s="3"/>
      <c r="BH526" s="3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2"/>
      <c r="BG527" s="3"/>
      <c r="BH527" s="3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2"/>
      <c r="BG528" s="3"/>
      <c r="BH528" s="3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2"/>
      <c r="BG529" s="3"/>
      <c r="BH529" s="3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2"/>
      <c r="BG530" s="3"/>
      <c r="BH530" s="3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2"/>
      <c r="BG531" s="3"/>
      <c r="BH531" s="3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2"/>
      <c r="BG532" s="3"/>
      <c r="BH532" s="3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2"/>
      <c r="BG533" s="3"/>
      <c r="BH533" s="3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2"/>
      <c r="BG534" s="3"/>
      <c r="BH534" s="3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2"/>
      <c r="BG535" s="3"/>
      <c r="BH535" s="3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2"/>
      <c r="BG536" s="3"/>
      <c r="BH536" s="3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2"/>
      <c r="BG537" s="3"/>
      <c r="BH537" s="3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2"/>
      <c r="BG538" s="3"/>
      <c r="BH538" s="3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2"/>
      <c r="BG539" s="3"/>
      <c r="BH539" s="3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2"/>
      <c r="BG540" s="3"/>
      <c r="BH540" s="3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2"/>
      <c r="BG541" s="3"/>
      <c r="BH541" s="3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2"/>
      <c r="BG542" s="3"/>
      <c r="BH542" s="3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2"/>
      <c r="BG543" s="3"/>
      <c r="BH543" s="3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2"/>
      <c r="BG544" s="3"/>
      <c r="BH544" s="3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2"/>
      <c r="BG545" s="3"/>
      <c r="BH545" s="3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2"/>
      <c r="BG546" s="3"/>
      <c r="BH546" s="3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2"/>
      <c r="BG547" s="3"/>
      <c r="BH547" s="3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2"/>
      <c r="BG548" s="3"/>
      <c r="BH548" s="3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2"/>
      <c r="BG549" s="3"/>
      <c r="BH549" s="3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2"/>
      <c r="BG550" s="3"/>
      <c r="BH550" s="3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2"/>
      <c r="BG551" s="3"/>
      <c r="BH551" s="3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2"/>
      <c r="BG552" s="3"/>
      <c r="BH552" s="3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2"/>
      <c r="BG553" s="3"/>
      <c r="BH553" s="3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2"/>
      <c r="BG554" s="3"/>
      <c r="BH554" s="3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2"/>
      <c r="BG555" s="3"/>
      <c r="BH555" s="3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2"/>
      <c r="BG556" s="3"/>
      <c r="BH556" s="3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2"/>
      <c r="BG557" s="3"/>
      <c r="BH557" s="3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2"/>
      <c r="BG558" s="3"/>
      <c r="BH558" s="3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2"/>
      <c r="BG559" s="3"/>
      <c r="BH559" s="3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2"/>
      <c r="BG560" s="3"/>
      <c r="BH560" s="3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2"/>
      <c r="BG561" s="3"/>
      <c r="BH561" s="3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2"/>
      <c r="BG562" s="3"/>
      <c r="BH562" s="3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2"/>
      <c r="BG563" s="3"/>
      <c r="BH563" s="3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2"/>
      <c r="BG564" s="3"/>
      <c r="BH564" s="3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2"/>
      <c r="BG565" s="3"/>
      <c r="BH565" s="3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2"/>
      <c r="BG566" s="3"/>
      <c r="BH566" s="3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2"/>
      <c r="BG567" s="3"/>
      <c r="BH567" s="3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2"/>
      <c r="BG568" s="3"/>
      <c r="BH568" s="3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2"/>
      <c r="BG569" s="3"/>
      <c r="BH569" s="3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2"/>
      <c r="BG570" s="3"/>
      <c r="BH570" s="3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2"/>
      <c r="BG571" s="3"/>
      <c r="BH571" s="3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2"/>
      <c r="BG572" s="3"/>
      <c r="BH572" s="3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2"/>
      <c r="BG573" s="3"/>
      <c r="BH573" s="3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2"/>
      <c r="BG574" s="3"/>
      <c r="BH574" s="3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2"/>
      <c r="BG575" s="3"/>
      <c r="BH575" s="3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2"/>
      <c r="BG576" s="3"/>
      <c r="BH576" s="3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2"/>
      <c r="BG577" s="3"/>
      <c r="BH577" s="3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2"/>
      <c r="BG578" s="3"/>
      <c r="BH578" s="3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2"/>
      <c r="BG579" s="3"/>
      <c r="BH579" s="3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2"/>
      <c r="BG580" s="3"/>
      <c r="BH580" s="3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2"/>
      <c r="BG581" s="3"/>
      <c r="BH581" s="3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2"/>
      <c r="BG582" s="3"/>
      <c r="BH582" s="3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2"/>
      <c r="BG583" s="3"/>
      <c r="BH583" s="3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2"/>
      <c r="BG584" s="3"/>
      <c r="BH584" s="3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2"/>
      <c r="BG585" s="3"/>
      <c r="BH585" s="3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2"/>
      <c r="BG586" s="3"/>
      <c r="BH586" s="3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2"/>
      <c r="BG587" s="3"/>
      <c r="BH587" s="3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2"/>
      <c r="BG588" s="3"/>
      <c r="BH588" s="3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2"/>
      <c r="BG589" s="3"/>
      <c r="BH589" s="3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2"/>
      <c r="BG590" s="3"/>
      <c r="BH590" s="3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2"/>
      <c r="BG591" s="3"/>
      <c r="BH591" s="3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2"/>
      <c r="BG592" s="3"/>
      <c r="BH592" s="3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2"/>
      <c r="BG593" s="3"/>
      <c r="BH593" s="3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2"/>
      <c r="BG594" s="3"/>
      <c r="BH594" s="3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2"/>
      <c r="BG595" s="3"/>
      <c r="BH595" s="3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2"/>
      <c r="BG596" s="3"/>
      <c r="BH596" s="3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2"/>
      <c r="BG597" s="3"/>
      <c r="BH597" s="3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2"/>
      <c r="BG598" s="3"/>
      <c r="BH598" s="3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2"/>
      <c r="BG599" s="3"/>
      <c r="BH599" s="3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2"/>
      <c r="BG600" s="3"/>
      <c r="BH600" s="3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2"/>
      <c r="BG601" s="3"/>
      <c r="BH601" s="3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2"/>
      <c r="BG602" s="3"/>
      <c r="BH602" s="3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2"/>
      <c r="BG603" s="3"/>
      <c r="BH603" s="3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2"/>
      <c r="BG604" s="3"/>
      <c r="BH604" s="3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2"/>
      <c r="BG605" s="3"/>
      <c r="BH605" s="3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2"/>
      <c r="BG606" s="3"/>
      <c r="BH606" s="3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2"/>
      <c r="BG607" s="3"/>
      <c r="BH607" s="3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2"/>
      <c r="BG608" s="3"/>
      <c r="BH608" s="3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2"/>
      <c r="BG609" s="3"/>
      <c r="BH609" s="3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2"/>
      <c r="BG610" s="3"/>
      <c r="BH610" s="3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2"/>
      <c r="BG611" s="3"/>
      <c r="BH611" s="3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2"/>
      <c r="BG612" s="3"/>
      <c r="BH612" s="3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2"/>
      <c r="BG613" s="3"/>
      <c r="BH613" s="3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2"/>
      <c r="BG614" s="3"/>
      <c r="BH614" s="3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2"/>
      <c r="BG615" s="3"/>
      <c r="BH615" s="3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2"/>
      <c r="BG616" s="3"/>
      <c r="BH616" s="3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2"/>
      <c r="BG617" s="3"/>
      <c r="BH617" s="3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2"/>
      <c r="BG618" s="3"/>
      <c r="BH618" s="3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2"/>
      <c r="BG619" s="3"/>
      <c r="BH619" s="3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2"/>
      <c r="BG620" s="3"/>
      <c r="BH620" s="3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2"/>
      <c r="BG621" s="3"/>
      <c r="BH621" s="3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2"/>
      <c r="BG622" s="3"/>
      <c r="BH622" s="3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2"/>
      <c r="BG623" s="3"/>
      <c r="BH623" s="3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2"/>
      <c r="BG624" s="3"/>
      <c r="BH624" s="3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2"/>
      <c r="BG625" s="3"/>
      <c r="BH625" s="3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2"/>
      <c r="BG626" s="3"/>
      <c r="BH626" s="3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2"/>
      <c r="BG627" s="3"/>
      <c r="BH627" s="3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2"/>
      <c r="BG628" s="3"/>
      <c r="BH628" s="3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2"/>
      <c r="BG629" s="3"/>
      <c r="BH629" s="3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2"/>
      <c r="BG630" s="3"/>
      <c r="BH630" s="3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2"/>
      <c r="BG631" s="3"/>
      <c r="BH631" s="3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2"/>
      <c r="BG632" s="3"/>
      <c r="BH632" s="3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2"/>
      <c r="BG633" s="3"/>
      <c r="BH633" s="3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2"/>
      <c r="BG634" s="3"/>
      <c r="BH634" s="3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2"/>
      <c r="BG635" s="3"/>
      <c r="BH635" s="3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2"/>
      <c r="BG636" s="3"/>
      <c r="BH636" s="3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2"/>
      <c r="BG637" s="3"/>
      <c r="BH637" s="3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2"/>
      <c r="BG638" s="3"/>
      <c r="BH638" s="3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2"/>
      <c r="BG639" s="3"/>
      <c r="BH639" s="3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2"/>
      <c r="BG640" s="3"/>
      <c r="BH640" s="3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2"/>
      <c r="BG641" s="3"/>
      <c r="BH641" s="3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2"/>
      <c r="BG642" s="3"/>
      <c r="BH642" s="3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2"/>
      <c r="BG643" s="3"/>
      <c r="BH643" s="3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2"/>
      <c r="BG644" s="3"/>
      <c r="BH644" s="3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2"/>
      <c r="BG645" s="3"/>
      <c r="BH645" s="3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2"/>
      <c r="BG646" s="3"/>
      <c r="BH646" s="3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2"/>
      <c r="BG647" s="3"/>
      <c r="BH647" s="3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2"/>
      <c r="BG648" s="3"/>
      <c r="BH648" s="3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2"/>
      <c r="BG649" s="3"/>
      <c r="BH649" s="3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2"/>
      <c r="BG650" s="3"/>
      <c r="BH650" s="3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2"/>
      <c r="BG651" s="3"/>
      <c r="BH651" s="3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2"/>
      <c r="BG652" s="3"/>
      <c r="BH652" s="3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2"/>
      <c r="BG653" s="3"/>
      <c r="BH653" s="3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2"/>
      <c r="BG654" s="3"/>
      <c r="BH654" s="3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2"/>
      <c r="BG655" s="3"/>
      <c r="BH655" s="3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2"/>
      <c r="BG656" s="3"/>
      <c r="BH656" s="3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2"/>
      <c r="BG657" s="3"/>
      <c r="BH657" s="3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2"/>
      <c r="BG658" s="3"/>
      <c r="BH658" s="3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2"/>
      <c r="BG659" s="3"/>
      <c r="BH659" s="3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2"/>
      <c r="BG660" s="3"/>
      <c r="BH660" s="3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2"/>
      <c r="BG661" s="3"/>
      <c r="BH661" s="3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2"/>
      <c r="BG662" s="3"/>
      <c r="BH662" s="3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2"/>
      <c r="BG663" s="3"/>
      <c r="BH663" s="3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2"/>
      <c r="BG664" s="3"/>
      <c r="BH664" s="3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2"/>
      <c r="BG665" s="3"/>
      <c r="BH665" s="3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2"/>
      <c r="BG666" s="3"/>
      <c r="BH666" s="3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2"/>
      <c r="BG667" s="3"/>
      <c r="BH667" s="3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2"/>
      <c r="BG668" s="3"/>
      <c r="BH668" s="3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2"/>
      <c r="BG669" s="3"/>
      <c r="BH669" s="3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2"/>
      <c r="BG670" s="3"/>
      <c r="BH670" s="3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2"/>
      <c r="BG671" s="3"/>
      <c r="BH671" s="3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2"/>
      <c r="BG672" s="3"/>
      <c r="BH672" s="3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2"/>
      <c r="BG673" s="3"/>
      <c r="BH673" s="3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2"/>
      <c r="BG674" s="3"/>
      <c r="BH674" s="3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2"/>
      <c r="BG675" s="3"/>
      <c r="BH675" s="3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2"/>
      <c r="BG676" s="3"/>
      <c r="BH676" s="3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2"/>
      <c r="BG677" s="3"/>
      <c r="BH677" s="3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2"/>
      <c r="BG678" s="3"/>
      <c r="BH678" s="3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2"/>
      <c r="BG679" s="3"/>
      <c r="BH679" s="3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2"/>
      <c r="BG680" s="3"/>
      <c r="BH680" s="3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2"/>
      <c r="BG681" s="3"/>
      <c r="BH681" s="3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2"/>
      <c r="BG682" s="3"/>
      <c r="BH682" s="3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2"/>
      <c r="BG683" s="3"/>
      <c r="BH683" s="3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2"/>
      <c r="BG684" s="3"/>
      <c r="BH684" s="3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2"/>
      <c r="BG685" s="3"/>
      <c r="BH685" s="3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2"/>
      <c r="BG686" s="3"/>
      <c r="BH686" s="3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2"/>
      <c r="BG687" s="3"/>
      <c r="BH687" s="3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2"/>
      <c r="BG688" s="3"/>
      <c r="BH688" s="3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2"/>
      <c r="BG689" s="3"/>
      <c r="BH689" s="3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2"/>
      <c r="BG690" s="3"/>
      <c r="BH690" s="3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2"/>
      <c r="BG691" s="3"/>
      <c r="BH691" s="3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2"/>
      <c r="BG692" s="3"/>
      <c r="BH692" s="3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2"/>
      <c r="BG693" s="3"/>
      <c r="BH693" s="3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2"/>
      <c r="BG694" s="3"/>
      <c r="BH694" s="3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2"/>
      <c r="BG695" s="3"/>
      <c r="BH695" s="3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2"/>
      <c r="BG696" s="3"/>
      <c r="BH696" s="3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2"/>
      <c r="BG697" s="3"/>
      <c r="BH697" s="3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2"/>
      <c r="BG698" s="3"/>
      <c r="BH698" s="3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2"/>
      <c r="BG699" s="3"/>
      <c r="BH699" s="3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2"/>
      <c r="BG700" s="3"/>
      <c r="BH700" s="3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2"/>
      <c r="BG701" s="3"/>
      <c r="BH701" s="3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2"/>
      <c r="BG702" s="3"/>
      <c r="BH702" s="3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2"/>
      <c r="BG703" s="3"/>
      <c r="BH703" s="3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2"/>
      <c r="BG704" s="3"/>
      <c r="BH704" s="3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2"/>
      <c r="BG705" s="3"/>
      <c r="BH705" s="3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2"/>
      <c r="BG706" s="3"/>
      <c r="BH706" s="3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2"/>
      <c r="BG707" s="3"/>
      <c r="BH707" s="3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2"/>
      <c r="BG708" s="3"/>
      <c r="BH708" s="3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2"/>
      <c r="BG709" s="3"/>
      <c r="BH709" s="3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2"/>
      <c r="BG710" s="3"/>
      <c r="BH710" s="3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2"/>
      <c r="BG711" s="3"/>
      <c r="BH711" s="3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2"/>
      <c r="BG712" s="3"/>
      <c r="BH712" s="3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2"/>
      <c r="BG713" s="3"/>
      <c r="BH713" s="3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2"/>
      <c r="BG714" s="3"/>
      <c r="BH714" s="3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2"/>
      <c r="BG715" s="3"/>
      <c r="BH715" s="3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2"/>
      <c r="BG716" s="3"/>
      <c r="BH716" s="3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2"/>
      <c r="BG717" s="3"/>
      <c r="BH717" s="3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2"/>
      <c r="BG718" s="3"/>
      <c r="BH718" s="3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2"/>
      <c r="BG719" s="3"/>
      <c r="BH719" s="3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2"/>
      <c r="BG720" s="3"/>
      <c r="BH720" s="3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2"/>
      <c r="BG721" s="3"/>
      <c r="BH721" s="3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2"/>
      <c r="BG722" s="3"/>
      <c r="BH722" s="3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2"/>
      <c r="BG723" s="3"/>
      <c r="BH723" s="3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2"/>
      <c r="BG724" s="3"/>
      <c r="BH724" s="3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2"/>
      <c r="BG725" s="3"/>
      <c r="BH725" s="3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2"/>
      <c r="BG726" s="3"/>
      <c r="BH726" s="3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2"/>
      <c r="BG727" s="3"/>
      <c r="BH727" s="3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2"/>
      <c r="BG728" s="3"/>
      <c r="BH728" s="3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2"/>
      <c r="BG729" s="3"/>
      <c r="BH729" s="3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2"/>
      <c r="BG730" s="3"/>
      <c r="BH730" s="3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2"/>
      <c r="BG731" s="3"/>
      <c r="BH731" s="3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2"/>
      <c r="BG732" s="3"/>
      <c r="BH732" s="3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2"/>
      <c r="BG733" s="3"/>
      <c r="BH733" s="3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2"/>
      <c r="BG734" s="3"/>
      <c r="BH734" s="3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2"/>
      <c r="BG735" s="3"/>
      <c r="BH735" s="3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2"/>
      <c r="BG736" s="3"/>
      <c r="BH736" s="3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2"/>
      <c r="BG737" s="3"/>
      <c r="BH737" s="3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2"/>
      <c r="BG738" s="3"/>
      <c r="BH738" s="3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2"/>
      <c r="BG739" s="3"/>
      <c r="BH739" s="3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2"/>
      <c r="BG740" s="3"/>
      <c r="BH740" s="3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2"/>
      <c r="BG741" s="3"/>
      <c r="BH741" s="3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2"/>
      <c r="BG742" s="3"/>
      <c r="BH742" s="3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2"/>
      <c r="BG743" s="3"/>
      <c r="BH743" s="3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2"/>
      <c r="BG744" s="3"/>
      <c r="BH744" s="3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2"/>
      <c r="BG745" s="3"/>
      <c r="BH745" s="3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2"/>
      <c r="BG746" s="3"/>
      <c r="BH746" s="3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2"/>
      <c r="BG747" s="3"/>
      <c r="BH747" s="3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2"/>
      <c r="BG748" s="3"/>
      <c r="BH748" s="3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2"/>
      <c r="BG749" s="3"/>
      <c r="BH749" s="3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2"/>
      <c r="BG750" s="3"/>
      <c r="BH750" s="3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2"/>
      <c r="BG751" s="3"/>
      <c r="BH751" s="3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2"/>
      <c r="BG752" s="3"/>
      <c r="BH752" s="3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2"/>
      <c r="BG753" s="3"/>
      <c r="BH753" s="3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2"/>
      <c r="BG754" s="3"/>
      <c r="BH754" s="3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2"/>
      <c r="BG755" s="3"/>
      <c r="BH755" s="3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2"/>
      <c r="BG756" s="3"/>
      <c r="BH756" s="3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2"/>
      <c r="BG757" s="3"/>
      <c r="BH757" s="3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2"/>
      <c r="BG758" s="3"/>
      <c r="BH758" s="3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2"/>
      <c r="BG759" s="3"/>
      <c r="BH759" s="3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2"/>
      <c r="BG760" s="3"/>
      <c r="BH760" s="3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2"/>
      <c r="BG761" s="3"/>
      <c r="BH761" s="3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2"/>
      <c r="BG762" s="3"/>
      <c r="BH762" s="3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2"/>
      <c r="BG763" s="3"/>
      <c r="BH763" s="3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2"/>
      <c r="BG764" s="3"/>
      <c r="BH764" s="3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2"/>
      <c r="BG765" s="3"/>
      <c r="BH765" s="3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2"/>
      <c r="BG766" s="3"/>
      <c r="BH766" s="3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2"/>
      <c r="BG767" s="3"/>
      <c r="BH767" s="3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2"/>
      <c r="BG768" s="3"/>
      <c r="BH768" s="3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2"/>
      <c r="BG769" s="3"/>
      <c r="BH769" s="3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2"/>
      <c r="BG770" s="3"/>
      <c r="BH770" s="3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2"/>
      <c r="BG771" s="3"/>
      <c r="BH771" s="3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2"/>
      <c r="BG772" s="3"/>
      <c r="BH772" s="3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2"/>
      <c r="BG773" s="3"/>
      <c r="BH773" s="3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2"/>
      <c r="BG774" s="3"/>
      <c r="BH774" s="3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2"/>
      <c r="BG775" s="3"/>
      <c r="BH775" s="3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2"/>
      <c r="BG776" s="3"/>
      <c r="BH776" s="3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2"/>
      <c r="BG777" s="3"/>
      <c r="BH777" s="3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2"/>
      <c r="BG778" s="3"/>
      <c r="BH778" s="3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2"/>
      <c r="BG779" s="3"/>
      <c r="BH779" s="3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2"/>
      <c r="BG780" s="3"/>
      <c r="BH780" s="3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2"/>
      <c r="BG781" s="3"/>
      <c r="BH781" s="3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2"/>
      <c r="BG782" s="3"/>
      <c r="BH782" s="3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2"/>
      <c r="BG783" s="3"/>
      <c r="BH783" s="3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2"/>
      <c r="BG784" s="3"/>
      <c r="BH784" s="3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2"/>
      <c r="BG785" s="3"/>
      <c r="BH785" s="3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2"/>
      <c r="BG786" s="3"/>
      <c r="BH786" s="3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2"/>
      <c r="BG787" s="3"/>
      <c r="BH787" s="3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2"/>
      <c r="BG788" s="3"/>
      <c r="BH788" s="3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2"/>
      <c r="BG789" s="3"/>
      <c r="BH789" s="3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2"/>
      <c r="BG790" s="3"/>
      <c r="BH790" s="3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2"/>
      <c r="BG791" s="3"/>
      <c r="BH791" s="3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2"/>
      <c r="BG792" s="3"/>
      <c r="BH792" s="3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2"/>
      <c r="BG793" s="3"/>
      <c r="BH793" s="3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2"/>
      <c r="BG794" s="3"/>
      <c r="BH794" s="3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2"/>
      <c r="BG795" s="3"/>
      <c r="BH795" s="3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2"/>
      <c r="BG796" s="3"/>
      <c r="BH796" s="3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2"/>
      <c r="BG797" s="3"/>
      <c r="BH797" s="3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2"/>
      <c r="BG798" s="3"/>
      <c r="BH798" s="3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2"/>
      <c r="BG799" s="3"/>
      <c r="BH799" s="3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2"/>
      <c r="BG800" s="3"/>
      <c r="BH800" s="3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2"/>
      <c r="BG801" s="3"/>
      <c r="BH801" s="3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2"/>
      <c r="BG802" s="3"/>
      <c r="BH802" s="3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2"/>
      <c r="BG803" s="3"/>
      <c r="BH803" s="3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2"/>
      <c r="BG804" s="3"/>
      <c r="BH804" s="3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2"/>
      <c r="BG805" s="3"/>
      <c r="BH805" s="3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2"/>
      <c r="BG806" s="3"/>
      <c r="BH806" s="3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2"/>
      <c r="BG807" s="3"/>
      <c r="BH807" s="3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2"/>
      <c r="BG808" s="3"/>
      <c r="BH808" s="3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2"/>
      <c r="BG809" s="3"/>
      <c r="BH809" s="3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2"/>
      <c r="BG810" s="3"/>
      <c r="BH810" s="3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2"/>
      <c r="BG811" s="3"/>
      <c r="BH811" s="3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2"/>
      <c r="BG812" s="3"/>
      <c r="BH812" s="3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2"/>
      <c r="BG813" s="3"/>
      <c r="BH813" s="3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2"/>
      <c r="BG814" s="3"/>
      <c r="BH814" s="3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2"/>
      <c r="BG815" s="3"/>
      <c r="BH815" s="3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2"/>
      <c r="BG816" s="3"/>
      <c r="BH816" s="3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2"/>
      <c r="BG817" s="3"/>
      <c r="BH817" s="3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2"/>
      <c r="BG818" s="3"/>
      <c r="BH818" s="3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2"/>
      <c r="BG819" s="3"/>
      <c r="BH819" s="3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2"/>
      <c r="BG820" s="3"/>
      <c r="BH820" s="3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2"/>
      <c r="BG821" s="3"/>
      <c r="BH821" s="3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2"/>
      <c r="BG822" s="3"/>
      <c r="BH822" s="3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2"/>
      <c r="BG823" s="3"/>
      <c r="BH823" s="3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2"/>
      <c r="BG824" s="3"/>
      <c r="BH824" s="3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2"/>
      <c r="BG825" s="3"/>
      <c r="BH825" s="3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2"/>
      <c r="BG826" s="3"/>
      <c r="BH826" s="3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2"/>
      <c r="BG827" s="3"/>
      <c r="BH827" s="3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2"/>
      <c r="BG828" s="3"/>
      <c r="BH828" s="3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2"/>
      <c r="BG829" s="3"/>
      <c r="BH829" s="3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2"/>
      <c r="BG830" s="3"/>
      <c r="BH830" s="3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2"/>
      <c r="BG831" s="3"/>
      <c r="BH831" s="3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2"/>
      <c r="BG832" s="3"/>
      <c r="BH832" s="3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2"/>
      <c r="BG833" s="3"/>
      <c r="BH833" s="3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2"/>
      <c r="BG834" s="3"/>
      <c r="BH834" s="3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2"/>
      <c r="BG835" s="3"/>
      <c r="BH835" s="3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2"/>
      <c r="BG836" s="3"/>
      <c r="BH836" s="3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2"/>
      <c r="BG837" s="3"/>
      <c r="BH837" s="3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2"/>
      <c r="BG838" s="3"/>
      <c r="BH838" s="3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2"/>
      <c r="BG839" s="3"/>
      <c r="BH839" s="3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2"/>
      <c r="BG840" s="3"/>
      <c r="BH840" s="3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2"/>
      <c r="BG841" s="3"/>
      <c r="BH841" s="3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2"/>
      <c r="BG842" s="3"/>
      <c r="BH842" s="3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2"/>
      <c r="BG843" s="3"/>
      <c r="BH843" s="3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2"/>
      <c r="BG844" s="3"/>
      <c r="BH844" s="3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2"/>
      <c r="BG845" s="3"/>
      <c r="BH845" s="3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2"/>
      <c r="BG846" s="3"/>
      <c r="BH846" s="3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2"/>
      <c r="BG847" s="3"/>
      <c r="BH847" s="3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2"/>
      <c r="BG848" s="3"/>
      <c r="BH848" s="3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2"/>
      <c r="BG849" s="3"/>
      <c r="BH849" s="3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2"/>
      <c r="BG850" s="3"/>
      <c r="BH850" s="3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2"/>
      <c r="BG851" s="3"/>
      <c r="BH851" s="3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2"/>
      <c r="BG852" s="3"/>
      <c r="BH852" s="3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2"/>
      <c r="BG853" s="3"/>
      <c r="BH853" s="3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2"/>
      <c r="BG854" s="3"/>
      <c r="BH854" s="3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2"/>
      <c r="BG855" s="3"/>
      <c r="BH855" s="3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2"/>
      <c r="BG856" s="3"/>
      <c r="BH856" s="3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2"/>
      <c r="BG857" s="3"/>
      <c r="BH857" s="3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2"/>
      <c r="BG858" s="3"/>
      <c r="BH858" s="3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2"/>
      <c r="BG859" s="3"/>
      <c r="BH859" s="3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2"/>
      <c r="BG860" s="3"/>
      <c r="BH860" s="3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2"/>
      <c r="BG861" s="3"/>
      <c r="BH861" s="3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2"/>
      <c r="BG862" s="3"/>
      <c r="BH862" s="3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2"/>
      <c r="BG863" s="3"/>
      <c r="BH863" s="3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2"/>
      <c r="BG864" s="3"/>
      <c r="BH864" s="3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2"/>
      <c r="BG865" s="3"/>
      <c r="BH865" s="3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2"/>
      <c r="BG866" s="3"/>
      <c r="BH866" s="3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2"/>
      <c r="BG867" s="3"/>
      <c r="BH867" s="3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2"/>
      <c r="BG868" s="3"/>
      <c r="BH868" s="3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2"/>
      <c r="BG869" s="3"/>
      <c r="BH869" s="3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2"/>
      <c r="BG870" s="3"/>
      <c r="BH870" s="3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2"/>
      <c r="BG871" s="3"/>
      <c r="BH871" s="3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2"/>
      <c r="BG872" s="3"/>
      <c r="BH872" s="3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2"/>
      <c r="BG873" s="3"/>
      <c r="BH873" s="3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2"/>
      <c r="BG874" s="3"/>
      <c r="BH874" s="3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2"/>
      <c r="BG875" s="3"/>
      <c r="BH875" s="3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2"/>
      <c r="BG876" s="3"/>
      <c r="BH876" s="3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2"/>
      <c r="BG877" s="3"/>
      <c r="BH877" s="3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2"/>
      <c r="BG878" s="3"/>
      <c r="BH878" s="3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2"/>
      <c r="BG879" s="3"/>
      <c r="BH879" s="3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2"/>
      <c r="BG880" s="3"/>
      <c r="BH880" s="3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2"/>
      <c r="BG881" s="3"/>
      <c r="BH881" s="3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2"/>
      <c r="BG882" s="3"/>
      <c r="BH882" s="3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2"/>
      <c r="BG883" s="3"/>
      <c r="BH883" s="3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2"/>
      <c r="BG884" s="3"/>
      <c r="BH884" s="3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2"/>
      <c r="BG885" s="3"/>
      <c r="BH885" s="3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2"/>
      <c r="BG886" s="3"/>
      <c r="BH886" s="3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2"/>
      <c r="BG887" s="3"/>
      <c r="BH887" s="3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2"/>
      <c r="BG888" s="3"/>
      <c r="BH888" s="3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2"/>
      <c r="BG889" s="3"/>
      <c r="BH889" s="3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2"/>
      <c r="BG890" s="3"/>
      <c r="BH890" s="3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2"/>
      <c r="BG891" s="3"/>
      <c r="BH891" s="3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2"/>
      <c r="BG892" s="3"/>
      <c r="BH892" s="3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2"/>
      <c r="BG893" s="3"/>
      <c r="BH893" s="3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2"/>
      <c r="BG894" s="3"/>
      <c r="BH894" s="3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2"/>
      <c r="BG895" s="3"/>
      <c r="BH895" s="3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2"/>
      <c r="BG896" s="3"/>
      <c r="BH896" s="3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2"/>
      <c r="BG897" s="3"/>
      <c r="BH897" s="3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2"/>
      <c r="BG898" s="3"/>
      <c r="BH898" s="3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2"/>
      <c r="BG899" s="3"/>
      <c r="BH899" s="3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2"/>
      <c r="BG900" s="3"/>
      <c r="BH900" s="3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2"/>
      <c r="BG901" s="3"/>
      <c r="BH901" s="3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2"/>
      <c r="BG902" s="3"/>
      <c r="BH902" s="3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2"/>
      <c r="BG903" s="3"/>
      <c r="BH903" s="3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2"/>
      <c r="BG904" s="3"/>
      <c r="BH904" s="3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2"/>
      <c r="BG905" s="3"/>
      <c r="BH905" s="3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2"/>
      <c r="BG906" s="3"/>
      <c r="BH906" s="3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2"/>
      <c r="BG907" s="3"/>
      <c r="BH907" s="3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2"/>
      <c r="BG908" s="3"/>
      <c r="BH908" s="3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2"/>
      <c r="BG909" s="3"/>
      <c r="BH909" s="3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2"/>
      <c r="BG910" s="3"/>
      <c r="BH910" s="3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2"/>
      <c r="BG911" s="3"/>
      <c r="BH911" s="3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2"/>
      <c r="BG912" s="3"/>
      <c r="BH912" s="3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2"/>
      <c r="BG913" s="3"/>
      <c r="BH913" s="3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2"/>
      <c r="BG914" s="3"/>
      <c r="BH914" s="3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2"/>
      <c r="BG915" s="3"/>
      <c r="BH915" s="3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2"/>
      <c r="BG916" s="3"/>
      <c r="BH916" s="3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2"/>
      <c r="BG917" s="3"/>
      <c r="BH917" s="3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2"/>
      <c r="BG918" s="3"/>
      <c r="BH918" s="3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2"/>
      <c r="BG919" s="3"/>
      <c r="BH919" s="3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2"/>
      <c r="BG920" s="3"/>
      <c r="BH920" s="3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2"/>
      <c r="BG921" s="3"/>
      <c r="BH921" s="3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2"/>
      <c r="BG922" s="3"/>
      <c r="BH922" s="3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2"/>
      <c r="BG923" s="3"/>
      <c r="BH923" s="3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2"/>
      <c r="BG924" s="3"/>
      <c r="BH924" s="3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2"/>
      <c r="BG925" s="3"/>
      <c r="BH925" s="3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2"/>
      <c r="BG926" s="3"/>
      <c r="BH926" s="3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2"/>
      <c r="BG927" s="3"/>
      <c r="BH927" s="3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2"/>
      <c r="BG928" s="3"/>
      <c r="BH928" s="3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2"/>
      <c r="BG929" s="3"/>
      <c r="BH929" s="3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2"/>
      <c r="BG930" s="3"/>
      <c r="BH930" s="3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2"/>
      <c r="BG931" s="3"/>
      <c r="BH931" s="3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2"/>
      <c r="BG932" s="3"/>
      <c r="BH932" s="3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2"/>
      <c r="BG933" s="3"/>
      <c r="BH933" s="3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2"/>
      <c r="BG934" s="3"/>
      <c r="BH934" s="3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2"/>
      <c r="BG935" s="3"/>
      <c r="BH935" s="3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2"/>
      <c r="BG936" s="3"/>
      <c r="BH936" s="3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2"/>
      <c r="BG937" s="3"/>
      <c r="BH937" s="3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2"/>
      <c r="BG938" s="3"/>
      <c r="BH938" s="3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2"/>
      <c r="BG939" s="3"/>
      <c r="BH939" s="3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2"/>
      <c r="BG940" s="3"/>
      <c r="BH940" s="3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2"/>
      <c r="BG941" s="3"/>
      <c r="BH941" s="3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2"/>
      <c r="BG942" s="3"/>
      <c r="BH942" s="3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2"/>
      <c r="BG943" s="3"/>
      <c r="BH943" s="3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2"/>
      <c r="BG944" s="3"/>
      <c r="BH944" s="3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2"/>
      <c r="BG945" s="3"/>
      <c r="BH945" s="3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2"/>
      <c r="BG946" s="3"/>
      <c r="BH946" s="3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2"/>
      <c r="BG947" s="3"/>
      <c r="BH947" s="3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2"/>
      <c r="BG948" s="3"/>
      <c r="BH948" s="3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2"/>
      <c r="BG949" s="3"/>
      <c r="BH949" s="3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2"/>
      <c r="BG950" s="3"/>
      <c r="BH950" s="3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2"/>
      <c r="BG951" s="3"/>
      <c r="BH951" s="3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2"/>
      <c r="BG952" s="3"/>
      <c r="BH952" s="3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2"/>
      <c r="BG953" s="3"/>
      <c r="BH953" s="3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2"/>
      <c r="BG954" s="3"/>
      <c r="BH954" s="3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2"/>
      <c r="BG955" s="3"/>
      <c r="BH955" s="3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2"/>
      <c r="BG956" s="3"/>
      <c r="BH956" s="3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2"/>
      <c r="BG957" s="3"/>
      <c r="BH957" s="3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2"/>
      <c r="BG958" s="3"/>
      <c r="BH958" s="3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2"/>
      <c r="BG959" s="3"/>
      <c r="BH959" s="3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2"/>
      <c r="BG960" s="3"/>
      <c r="BH960" s="3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2"/>
      <c r="BG961" s="3"/>
      <c r="BH961" s="3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2"/>
      <c r="BG962" s="3"/>
      <c r="BH962" s="3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2"/>
      <c r="BG963" s="3"/>
      <c r="BH963" s="3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2"/>
      <c r="BG964" s="3"/>
      <c r="BH964" s="3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2"/>
      <c r="BG965" s="3"/>
      <c r="BH965" s="3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2"/>
      <c r="BG966" s="3"/>
      <c r="BH966" s="3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2"/>
      <c r="BG967" s="3"/>
      <c r="BH967" s="3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2"/>
      <c r="BG968" s="3"/>
      <c r="BH968" s="3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2"/>
      <c r="BG969" s="3"/>
      <c r="BH969" s="3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2"/>
      <c r="BG970" s="3"/>
      <c r="BH970" s="3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2"/>
      <c r="BG971" s="3"/>
      <c r="BH971" s="3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2"/>
      <c r="BG972" s="3"/>
      <c r="BH972" s="3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2"/>
      <c r="BG973" s="3"/>
      <c r="BH973" s="3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2"/>
      <c r="BG974" s="3"/>
      <c r="BH974" s="3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2"/>
      <c r="BG975" s="3"/>
      <c r="BH975" s="3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2"/>
      <c r="BG976" s="3"/>
      <c r="BH976" s="3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2"/>
      <c r="BG977" s="3"/>
      <c r="BH977" s="3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2"/>
      <c r="BG978" s="3"/>
      <c r="BH978" s="3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2"/>
      <c r="BG979" s="3"/>
      <c r="BH979" s="3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2"/>
      <c r="BG980" s="3"/>
      <c r="BH980" s="3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2"/>
      <c r="BG981" s="3"/>
      <c r="BH981" s="3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2"/>
      <c r="BG982" s="3"/>
      <c r="BH982" s="3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2"/>
      <c r="BG983" s="3"/>
      <c r="BH983" s="3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2"/>
      <c r="BG984" s="3"/>
      <c r="BH984" s="3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2"/>
      <c r="BG985" s="3"/>
      <c r="BH985" s="3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2"/>
      <c r="BG986" s="3"/>
      <c r="BH986" s="3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2"/>
      <c r="BG987" s="3"/>
      <c r="BH987" s="3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2"/>
      <c r="BG988" s="3"/>
      <c r="BH988" s="3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2"/>
      <c r="BG989" s="3"/>
      <c r="BH989" s="3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2"/>
      <c r="BG990" s="3"/>
      <c r="BH990" s="3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2"/>
      <c r="BG991" s="3"/>
      <c r="BH991" s="3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2"/>
      <c r="BG992" s="3"/>
      <c r="BH992" s="3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2"/>
      <c r="BG993" s="3"/>
      <c r="BH993" s="3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2"/>
      <c r="BG994" s="3"/>
      <c r="BH994" s="3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2"/>
      <c r="BG995" s="3"/>
      <c r="BH995" s="3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2"/>
      <c r="BG996" s="3"/>
      <c r="BH996" s="3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2"/>
      <c r="BG997" s="3"/>
      <c r="BH997" s="3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2"/>
      <c r="BG998" s="3"/>
      <c r="BH998" s="3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2"/>
      <c r="BG999" s="3"/>
      <c r="BH999" s="3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2"/>
      <c r="BG1000" s="3"/>
      <c r="BH1000" s="3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2"/>
      <c r="BG1001" s="3"/>
      <c r="BH1001" s="3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2"/>
      <c r="BG1002" s="3"/>
      <c r="BH1002" s="3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2"/>
      <c r="BG1003" s="3"/>
      <c r="BH1003" s="3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2"/>
      <c r="BG1004" s="3"/>
      <c r="BH1004" s="3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2"/>
      <c r="BG1005" s="3"/>
      <c r="BH1005" s="3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2"/>
      <c r="BG1006" s="3"/>
      <c r="BH1006" s="3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2"/>
      <c r="BG1007" s="3"/>
      <c r="BH1007" s="3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2"/>
      <c r="BG1008" s="3"/>
      <c r="BH1008" s="3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2"/>
      <c r="BG1009" s="3"/>
      <c r="BH1009" s="3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2"/>
      <c r="BG1010" s="3"/>
      <c r="BH1010" s="3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2"/>
      <c r="BG1011" s="3"/>
      <c r="BH1011" s="3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2"/>
      <c r="BG1012" s="3"/>
      <c r="BH1012" s="3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2"/>
      <c r="BG1013" s="3"/>
      <c r="BH1013" s="3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2"/>
      <c r="BG1014" s="3"/>
      <c r="BH1014" s="3"/>
    </row>
  </sheetData>
  <mergeCells count="113">
    <mergeCell ref="BB5:BD5"/>
    <mergeCell ref="L15:N15"/>
    <mergeCell ref="L16:N16"/>
    <mergeCell ref="L14:N14"/>
    <mergeCell ref="U2:AE2"/>
    <mergeCell ref="K3:BD4"/>
    <mergeCell ref="O5:BA5"/>
    <mergeCell ref="B5:J5"/>
    <mergeCell ref="S54:S59"/>
    <mergeCell ref="R54:R59"/>
    <mergeCell ref="X61:Z61"/>
    <mergeCell ref="P54:P59"/>
    <mergeCell ref="Q54:Q59"/>
    <mergeCell ref="E54:E71"/>
    <mergeCell ref="F54:F71"/>
    <mergeCell ref="AF54:AF59"/>
    <mergeCell ref="K68:BD68"/>
    <mergeCell ref="K69:BD69"/>
    <mergeCell ref="K70:BD70"/>
    <mergeCell ref="K71:BD71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10:N10"/>
    <mergeCell ref="L11:N11"/>
    <mergeCell ref="L12:N12"/>
    <mergeCell ref="L13:N13"/>
    <mergeCell ref="L17:N17"/>
    <mergeCell ref="L18:N18"/>
    <mergeCell ref="L19:N19"/>
    <mergeCell ref="L20:N20"/>
    <mergeCell ref="L21:N21"/>
    <mergeCell ref="L22:N22"/>
    <mergeCell ref="L23:N23"/>
    <mergeCell ref="X62:Z62"/>
    <mergeCell ref="X63:Z63"/>
    <mergeCell ref="Y64:AA64"/>
    <mergeCell ref="Y65:AA65"/>
    <mergeCell ref="G54:G71"/>
    <mergeCell ref="H54:H71"/>
    <mergeCell ref="I54:I71"/>
    <mergeCell ref="J54:J71"/>
    <mergeCell ref="L49:N49"/>
    <mergeCell ref="L50:N50"/>
    <mergeCell ref="L51:N51"/>
    <mergeCell ref="L52:N52"/>
    <mergeCell ref="B54:B71"/>
    <mergeCell ref="C54:C71"/>
    <mergeCell ref="D54:D71"/>
    <mergeCell ref="Z54:Z59"/>
    <mergeCell ref="AA54:AA59"/>
    <mergeCell ref="O54:O59"/>
    <mergeCell ref="T54:T59"/>
    <mergeCell ref="U54:U59"/>
    <mergeCell ref="V54:V59"/>
    <mergeCell ref="W54:W59"/>
    <mergeCell ref="X54:X59"/>
    <mergeCell ref="Y54:Y59"/>
    <mergeCell ref="AL54:AL59"/>
    <mergeCell ref="AN54:AN59"/>
    <mergeCell ref="AM54:AM59"/>
    <mergeCell ref="AH54:AH59"/>
    <mergeCell ref="AG54:AG59"/>
    <mergeCell ref="AB54:AB59"/>
    <mergeCell ref="AC54:AC59"/>
    <mergeCell ref="AE54:AE59"/>
    <mergeCell ref="AI54:AI59"/>
    <mergeCell ref="AK54:AK59"/>
    <mergeCell ref="AD54:AD59"/>
    <mergeCell ref="AJ54:AJ59"/>
    <mergeCell ref="BB54:BB59"/>
    <mergeCell ref="BC54:BC59"/>
    <mergeCell ref="BG60:BH60"/>
    <mergeCell ref="AW54:AW59"/>
    <mergeCell ref="AX54:AX59"/>
    <mergeCell ref="AY54:AY59"/>
    <mergeCell ref="AZ54:AZ59"/>
    <mergeCell ref="AQ54:AQ59"/>
    <mergeCell ref="AR54:AR59"/>
    <mergeCell ref="AS54:AS59"/>
    <mergeCell ref="AT54:AT59"/>
    <mergeCell ref="AU54:AU59"/>
    <mergeCell ref="AV54:AV59"/>
    <mergeCell ref="BA54:BA59"/>
    <mergeCell ref="AO54:AO59"/>
    <mergeCell ref="AP54:AP59"/>
    <mergeCell ref="L42:N42"/>
    <mergeCell ref="L43:N43"/>
    <mergeCell ref="L44:N44"/>
    <mergeCell ref="L45:N45"/>
    <mergeCell ref="L46:N46"/>
    <mergeCell ref="L47:N47"/>
    <mergeCell ref="BD54:BD59"/>
    <mergeCell ref="L48:N48"/>
    <mergeCell ref="L6:N6"/>
    <mergeCell ref="L7:N7"/>
    <mergeCell ref="L8:N8"/>
    <mergeCell ref="L9:N9"/>
  </mergeCells>
  <conditionalFormatting sqref="N74:O74 W74:BH74">
    <cfRule type="cellIs" dxfId="0" priority="1" operator="equal">
      <formula>"G"</formula>
    </cfRule>
  </conditionalFormatting>
  <conditionalFormatting sqref="N74:O74 W74:BH74">
    <cfRule type="cellIs" dxfId="0" priority="2" operator="equal">
      <formula>"Y"</formula>
    </cfRule>
  </conditionalFormatting>
  <conditionalFormatting sqref="N74:O74 W74:BH74">
    <cfRule type="cellIs" dxfId="0" priority="3" operator="equal">
      <formula>"R"</formula>
    </cfRule>
  </conditionalFormatting>
  <conditionalFormatting sqref="O6:AA42 AB6:AB38 AC6:AC33 AD6:BA42 AC35:AC37 AC39:AC42 O53:BA53">
    <cfRule type="cellIs" dxfId="0" priority="4" operator="equal">
      <formula>"S"</formula>
    </cfRule>
  </conditionalFormatting>
  <conditionalFormatting sqref="O6:AA42 AB6:AB38 AC6:AC33 AD6:BA42 AC35:AC37 AC39:AC42 O53:BA53">
    <cfRule type="cellIs" dxfId="0" priority="5" operator="equal">
      <formula>"C"</formula>
    </cfRule>
  </conditionalFormatting>
  <conditionalFormatting sqref="O6:AA42 AB6:AB38 AC6:AC33 AD6:BA42 AC35:AC37 AC39:AC42 O53:BA53">
    <cfRule type="cellIs" dxfId="0" priority="6" operator="equal">
      <formula>"D"</formula>
    </cfRule>
  </conditionalFormatting>
  <conditionalFormatting sqref="AC34">
    <cfRule type="cellIs" dxfId="0" priority="7" operator="equal">
      <formula>"S"</formula>
    </cfRule>
  </conditionalFormatting>
  <conditionalFormatting sqref="AC34">
    <cfRule type="cellIs" dxfId="0" priority="8" operator="equal">
      <formula>"C"</formula>
    </cfRule>
  </conditionalFormatting>
  <conditionalFormatting sqref="AC34">
    <cfRule type="cellIs" dxfId="0" priority="9" operator="equal">
      <formula>"D"</formula>
    </cfRule>
  </conditionalFormatting>
  <conditionalFormatting sqref="AB40:AB42">
    <cfRule type="cellIs" dxfId="0" priority="10" operator="equal">
      <formula>"S"</formula>
    </cfRule>
  </conditionalFormatting>
  <conditionalFormatting sqref="AB40:AB42">
    <cfRule type="cellIs" dxfId="0" priority="11" operator="equal">
      <formula>"C"</formula>
    </cfRule>
  </conditionalFormatting>
  <conditionalFormatting sqref="AB40:AB42">
    <cfRule type="cellIs" dxfId="0" priority="12" operator="equal">
      <formula>"D"</formula>
    </cfRule>
  </conditionalFormatting>
  <conditionalFormatting sqref="AB39">
    <cfRule type="cellIs" dxfId="0" priority="13" operator="equal">
      <formula>"S"</formula>
    </cfRule>
  </conditionalFormatting>
  <conditionalFormatting sqref="AB39">
    <cfRule type="cellIs" dxfId="0" priority="14" operator="equal">
      <formula>"C"</formula>
    </cfRule>
  </conditionalFormatting>
  <conditionalFormatting sqref="AB39">
    <cfRule type="cellIs" dxfId="0" priority="15" operator="equal">
      <formula>"D"</formula>
    </cfRule>
  </conditionalFormatting>
  <conditionalFormatting sqref="AA43:AA52">
    <cfRule type="cellIs" dxfId="0" priority="16" operator="equal">
      <formula>"S"</formula>
    </cfRule>
  </conditionalFormatting>
  <conditionalFormatting sqref="AA43:AA52">
    <cfRule type="cellIs" dxfId="0" priority="17" operator="equal">
      <formula>"C"</formula>
    </cfRule>
  </conditionalFormatting>
  <conditionalFormatting sqref="AA43:AA52">
    <cfRule type="cellIs" dxfId="0" priority="18" operator="equal">
      <formula>"D"</formula>
    </cfRule>
  </conditionalFormatting>
  <conditionalFormatting sqref="AF45:BA52">
    <cfRule type="cellIs" dxfId="0" priority="19" operator="equal">
      <formula>"S"</formula>
    </cfRule>
  </conditionalFormatting>
  <conditionalFormatting sqref="AF45:BA52">
    <cfRule type="cellIs" dxfId="0" priority="20" operator="equal">
      <formula>"C"</formula>
    </cfRule>
  </conditionalFormatting>
  <conditionalFormatting sqref="AF45:BA52">
    <cfRule type="cellIs" dxfId="0" priority="21" operator="equal">
      <formula>"D"</formula>
    </cfRule>
  </conditionalFormatting>
  <conditionalFormatting sqref="AD43:AE44">
    <cfRule type="cellIs" dxfId="0" priority="22" operator="equal">
      <formula>"S"</formula>
    </cfRule>
  </conditionalFormatting>
  <conditionalFormatting sqref="AD43:AE44">
    <cfRule type="cellIs" dxfId="0" priority="23" operator="equal">
      <formula>"C"</formula>
    </cfRule>
  </conditionalFormatting>
  <conditionalFormatting sqref="AD43:AE44">
    <cfRule type="cellIs" dxfId="0" priority="24" operator="equal">
      <formula>"D"</formula>
    </cfRule>
  </conditionalFormatting>
  <conditionalFormatting sqref="AC38">
    <cfRule type="cellIs" dxfId="0" priority="25" operator="equal">
      <formula>"S"</formula>
    </cfRule>
  </conditionalFormatting>
  <conditionalFormatting sqref="AC38">
    <cfRule type="cellIs" dxfId="0" priority="26" operator="equal">
      <formula>"C"</formula>
    </cfRule>
  </conditionalFormatting>
  <conditionalFormatting sqref="AC38">
    <cfRule type="cellIs" dxfId="0" priority="27" operator="equal">
      <formula>"D"</formula>
    </cfRule>
  </conditionalFormatting>
  <printOptions/>
  <pageMargins bottom="0.75" footer="0.0" header="0.0" left="0.7" right="0.7" top="0.75"/>
  <pageSetup orientation="landscape"/>
  <headerFooter>
    <oddFooter>&amp;L&amp;F  &amp;A  &amp;D  &amp;T&amp;RCopyright OC Tanner 2007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2005-12-29T17:58:05Z</dcterms:created>
  <dc:creator>Byron Terry</dc:creator>
</cp:coreProperties>
</file>